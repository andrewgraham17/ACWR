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statesports-my.sharepoint.com/personal/rdarrow_kstatesports_com/Documents/Desktop/K-State Baseball/Throwing-Conditioning/"/>
    </mc:Choice>
  </mc:AlternateContent>
  <xr:revisionPtr revIDLastSave="2" documentId="8_{44A8704C-148A-4EDD-AEB4-73996BF6E8D6}" xr6:coauthVersionLast="47" xr6:coauthVersionMax="47" xr10:uidLastSave="{DCA9A402-4F49-4040-A910-917B9145E4CF}"/>
  <bookViews>
    <workbookView xWindow="28680" yWindow="-120" windowWidth="29040" windowHeight="15720" tabRatio="500" activeTab="5" xr2:uid="{00000000-000D-0000-FFFF-FFFF00000000}"/>
  </bookViews>
  <sheets>
    <sheet name="README" sheetId="1" r:id="rId1"/>
    <sheet name="Reference" sheetId="2" r:id="rId2"/>
    <sheet name="Roster" sheetId="3" r:id="rId3"/>
    <sheet name="Throw Log" sheetId="4" r:id="rId4"/>
    <sheet name="Dashboard" sheetId="5" r:id="rId5"/>
    <sheet name="Day Type Templates" sheetId="6" r:id="rId6"/>
    <sheet name="Next Outing Planner"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2" i="7" l="1"/>
  <c r="B8" i="7"/>
  <c r="B7" i="7"/>
  <c r="A46" i="7" s="1"/>
  <c r="F46" i="7" s="1"/>
  <c r="N35" i="6"/>
  <c r="M35" i="6"/>
  <c r="L35" i="6"/>
  <c r="K35" i="6"/>
  <c r="O35" i="6" s="1"/>
  <c r="H35" i="6"/>
  <c r="P35" i="6" s="1"/>
  <c r="P34" i="6"/>
  <c r="N34" i="6"/>
  <c r="M34" i="6"/>
  <c r="L34" i="6"/>
  <c r="K34" i="6"/>
  <c r="O34" i="6" s="1"/>
  <c r="H34" i="6"/>
  <c r="N33" i="6"/>
  <c r="M33" i="6"/>
  <c r="L33" i="6"/>
  <c r="K33" i="6"/>
  <c r="O33" i="6" s="1"/>
  <c r="H33" i="6"/>
  <c r="P33" i="6" s="1"/>
  <c r="C49" i="6" s="1"/>
  <c r="P32" i="6"/>
  <c r="O32" i="6"/>
  <c r="N32" i="6"/>
  <c r="M32" i="6"/>
  <c r="L32" i="6"/>
  <c r="K32" i="6"/>
  <c r="H32" i="6"/>
  <c r="N31" i="6"/>
  <c r="M31" i="6"/>
  <c r="L31" i="6"/>
  <c r="K31" i="6"/>
  <c r="O31" i="6" s="1"/>
  <c r="H31" i="6"/>
  <c r="P31" i="6" s="1"/>
  <c r="P30" i="6"/>
  <c r="O30" i="6"/>
  <c r="N30" i="6"/>
  <c r="M30" i="6"/>
  <c r="L30" i="6"/>
  <c r="K30" i="6"/>
  <c r="H30" i="6"/>
  <c r="N29" i="6"/>
  <c r="M29" i="6"/>
  <c r="L29" i="6"/>
  <c r="K29" i="6"/>
  <c r="O29" i="6" s="1"/>
  <c r="H29" i="6"/>
  <c r="P29" i="6" s="1"/>
  <c r="O28" i="6"/>
  <c r="N28" i="6"/>
  <c r="P28" i="6" s="1"/>
  <c r="C47" i="6" s="1"/>
  <c r="M28" i="6"/>
  <c r="L28" i="6"/>
  <c r="K28" i="6"/>
  <c r="H28" i="6"/>
  <c r="N27" i="6"/>
  <c r="M27" i="6"/>
  <c r="L27" i="6"/>
  <c r="K27" i="6"/>
  <c r="O27" i="6" s="1"/>
  <c r="H27" i="6"/>
  <c r="P27" i="6" s="1"/>
  <c r="O26" i="6"/>
  <c r="N26" i="6"/>
  <c r="P26" i="6" s="1"/>
  <c r="M26" i="6"/>
  <c r="L26" i="6"/>
  <c r="D46" i="6" s="1"/>
  <c r="K26" i="6"/>
  <c r="H26" i="6"/>
  <c r="N25" i="6"/>
  <c r="M25" i="6"/>
  <c r="L25" i="6"/>
  <c r="K25" i="6"/>
  <c r="O25" i="6" s="1"/>
  <c r="H25" i="6"/>
  <c r="N24" i="6"/>
  <c r="P24" i="6" s="1"/>
  <c r="M24" i="6"/>
  <c r="L24" i="6"/>
  <c r="D45" i="6" s="1"/>
  <c r="C58" i="6" s="1"/>
  <c r="K24" i="6"/>
  <c r="O24" i="6" s="1"/>
  <c r="H24" i="6"/>
  <c r="N23" i="6"/>
  <c r="M23" i="6"/>
  <c r="L23" i="6"/>
  <c r="K23" i="6"/>
  <c r="O23" i="6" s="1"/>
  <c r="H23" i="6"/>
  <c r="P23" i="6" s="1"/>
  <c r="P22" i="6"/>
  <c r="N22" i="6"/>
  <c r="M22" i="6"/>
  <c r="L22" i="6"/>
  <c r="K22" i="6"/>
  <c r="O22" i="6" s="1"/>
  <c r="H22" i="6"/>
  <c r="N21" i="6"/>
  <c r="M21" i="6"/>
  <c r="L21" i="6"/>
  <c r="K21" i="6"/>
  <c r="O21" i="6" s="1"/>
  <c r="H21" i="6"/>
  <c r="P21" i="6" s="1"/>
  <c r="P20" i="6"/>
  <c r="N20" i="6"/>
  <c r="M20" i="6"/>
  <c r="L20" i="6"/>
  <c r="K20" i="6"/>
  <c r="O20" i="6" s="1"/>
  <c r="H20" i="6"/>
  <c r="P19" i="6"/>
  <c r="N19" i="6"/>
  <c r="M19" i="6"/>
  <c r="L19" i="6"/>
  <c r="K19" i="6"/>
  <c r="O19" i="6" s="1"/>
  <c r="H19" i="6"/>
  <c r="N18" i="6"/>
  <c r="M18" i="6"/>
  <c r="L18" i="6"/>
  <c r="K18" i="6"/>
  <c r="O18" i="6" s="1"/>
  <c r="P18" i="6" s="1"/>
  <c r="C43" i="6" s="1"/>
  <c r="H18" i="6"/>
  <c r="P17" i="6"/>
  <c r="N17" i="6"/>
  <c r="M17" i="6"/>
  <c r="L17" i="6"/>
  <c r="K17" i="6"/>
  <c r="O17" i="6" s="1"/>
  <c r="H17" i="6"/>
  <c r="O16" i="6"/>
  <c r="N16" i="6"/>
  <c r="P16" i="6" s="1"/>
  <c r="C42" i="6" s="1"/>
  <c r="M16" i="6"/>
  <c r="L16" i="6"/>
  <c r="K16" i="6"/>
  <c r="H16" i="6"/>
  <c r="P15" i="6"/>
  <c r="N15" i="6"/>
  <c r="M15" i="6"/>
  <c r="L15" i="6"/>
  <c r="K15" i="6"/>
  <c r="O15" i="6" s="1"/>
  <c r="H15" i="6"/>
  <c r="N14" i="6"/>
  <c r="M14" i="6"/>
  <c r="L14" i="6"/>
  <c r="D41" i="6" s="1"/>
  <c r="C56" i="6" s="1"/>
  <c r="K14" i="6"/>
  <c r="O14" i="6" s="1"/>
  <c r="H14" i="6"/>
  <c r="P13" i="6"/>
  <c r="N13" i="6"/>
  <c r="M13" i="6"/>
  <c r="L13" i="6"/>
  <c r="K13" i="6"/>
  <c r="O13" i="6" s="1"/>
  <c r="H13" i="6"/>
  <c r="P12" i="6"/>
  <c r="C40" i="6" s="1"/>
  <c r="N12" i="6"/>
  <c r="M12" i="6"/>
  <c r="L12" i="6"/>
  <c r="K12" i="6"/>
  <c r="O12" i="6" s="1"/>
  <c r="H12" i="6"/>
  <c r="N11" i="6"/>
  <c r="M11" i="6"/>
  <c r="L11" i="6"/>
  <c r="K11" i="6"/>
  <c r="O11" i="6" s="1"/>
  <c r="H11" i="6"/>
  <c r="P11" i="6" s="1"/>
  <c r="O10" i="6"/>
  <c r="P10" i="6" s="1"/>
  <c r="C39" i="6" s="1"/>
  <c r="B55" i="6" s="1"/>
  <c r="N10" i="6"/>
  <c r="M10" i="6"/>
  <c r="L10" i="6"/>
  <c r="K10" i="6"/>
  <c r="H10" i="6"/>
  <c r="B5" i="5"/>
  <c r="A39" i="5" s="1"/>
  <c r="AC300" i="4"/>
  <c r="AB300" i="4"/>
  <c r="AA300" i="4"/>
  <c r="U300" i="4"/>
  <c r="V300" i="4" s="1"/>
  <c r="W300" i="4" s="1"/>
  <c r="O300" i="4"/>
  <c r="M300" i="4"/>
  <c r="L300" i="4"/>
  <c r="N300" i="4" s="1"/>
  <c r="P300" i="4" s="1"/>
  <c r="I300" i="4"/>
  <c r="G300" i="4"/>
  <c r="AA299" i="4"/>
  <c r="AB299" i="4" s="1"/>
  <c r="AC299" i="4" s="1"/>
  <c r="W299" i="4"/>
  <c r="U299" i="4"/>
  <c r="V299" i="4" s="1"/>
  <c r="O299" i="4"/>
  <c r="M299" i="4"/>
  <c r="L299" i="4"/>
  <c r="I299" i="4"/>
  <c r="G299" i="4"/>
  <c r="AC298" i="4"/>
  <c r="AB298" i="4"/>
  <c r="AA298" i="4"/>
  <c r="U298" i="4"/>
  <c r="V298" i="4" s="1"/>
  <c r="W298" i="4" s="1"/>
  <c r="O298" i="4"/>
  <c r="M298" i="4"/>
  <c r="L298" i="4"/>
  <c r="N298" i="4" s="1"/>
  <c r="P298" i="4" s="1"/>
  <c r="I298" i="4"/>
  <c r="G298" i="4"/>
  <c r="AA297" i="4"/>
  <c r="AB297" i="4" s="1"/>
  <c r="AC297" i="4" s="1"/>
  <c r="W297" i="4"/>
  <c r="U297" i="4"/>
  <c r="V297" i="4" s="1"/>
  <c r="O297" i="4"/>
  <c r="M297" i="4"/>
  <c r="L297" i="4"/>
  <c r="I297" i="4"/>
  <c r="G297" i="4"/>
  <c r="AA296" i="4"/>
  <c r="AB296" i="4" s="1"/>
  <c r="AC296" i="4" s="1"/>
  <c r="U296" i="4"/>
  <c r="O296" i="4"/>
  <c r="M296" i="4"/>
  <c r="L296" i="4"/>
  <c r="I296" i="4"/>
  <c r="G296" i="4"/>
  <c r="AA295" i="4"/>
  <c r="AB295" i="4" s="1"/>
  <c r="AC295" i="4" s="1"/>
  <c r="U295" i="4"/>
  <c r="O295" i="4"/>
  <c r="M295" i="4"/>
  <c r="L295" i="4"/>
  <c r="I295" i="4"/>
  <c r="G295" i="4"/>
  <c r="AA294" i="4"/>
  <c r="AB294" i="4" s="1"/>
  <c r="AC294" i="4" s="1"/>
  <c r="U294" i="4"/>
  <c r="O294" i="4"/>
  <c r="M294" i="4"/>
  <c r="L294" i="4"/>
  <c r="G294" i="4"/>
  <c r="I294" i="4" s="1"/>
  <c r="AC293" i="4"/>
  <c r="AB293" i="4"/>
  <c r="AA293" i="4"/>
  <c r="U293" i="4"/>
  <c r="O293" i="4"/>
  <c r="M293" i="4"/>
  <c r="L293" i="4"/>
  <c r="I293" i="4"/>
  <c r="G293" i="4"/>
  <c r="AC292" i="4"/>
  <c r="AA292" i="4"/>
  <c r="AB292" i="4" s="1"/>
  <c r="W292" i="4"/>
  <c r="U292" i="4"/>
  <c r="V292" i="4" s="1"/>
  <c r="P292" i="4"/>
  <c r="O292" i="4"/>
  <c r="M292" i="4"/>
  <c r="L292" i="4"/>
  <c r="N292" i="4" s="1"/>
  <c r="I292" i="4"/>
  <c r="G292" i="4"/>
  <c r="AA291" i="4"/>
  <c r="U291" i="4"/>
  <c r="O291" i="4"/>
  <c r="M291" i="4"/>
  <c r="AB291" i="4" s="1"/>
  <c r="AC291" i="4" s="1"/>
  <c r="L291" i="4"/>
  <c r="N291" i="4" s="1"/>
  <c r="P291" i="4" s="1"/>
  <c r="I291" i="4"/>
  <c r="G291" i="4"/>
  <c r="AA290" i="4"/>
  <c r="AB290" i="4" s="1"/>
  <c r="AC290" i="4" s="1"/>
  <c r="U290" i="4"/>
  <c r="V290" i="4" s="1"/>
  <c r="W290" i="4" s="1"/>
  <c r="O290" i="4"/>
  <c r="M290" i="4"/>
  <c r="L290" i="4"/>
  <c r="N290" i="4" s="1"/>
  <c r="P290" i="4" s="1"/>
  <c r="G290" i="4"/>
  <c r="I290" i="4" s="1"/>
  <c r="AA289" i="4"/>
  <c r="W289" i="4"/>
  <c r="U289" i="4"/>
  <c r="V289" i="4" s="1"/>
  <c r="O289" i="4"/>
  <c r="M289" i="4"/>
  <c r="AB289" i="4" s="1"/>
  <c r="AC289" i="4" s="1"/>
  <c r="L289" i="4"/>
  <c r="I289" i="4"/>
  <c r="G289" i="4"/>
  <c r="AA288" i="4"/>
  <c r="U288" i="4"/>
  <c r="O288" i="4"/>
  <c r="M288" i="4"/>
  <c r="L288" i="4"/>
  <c r="N288" i="4" s="1"/>
  <c r="P288" i="4" s="1"/>
  <c r="G288" i="4"/>
  <c r="I288" i="4" s="1"/>
  <c r="AB287" i="4"/>
  <c r="AC287" i="4" s="1"/>
  <c r="AA287" i="4"/>
  <c r="U287" i="4"/>
  <c r="V287" i="4" s="1"/>
  <c r="W287" i="4" s="1"/>
  <c r="O287" i="4"/>
  <c r="M287" i="4"/>
  <c r="L287" i="4"/>
  <c r="I287" i="4"/>
  <c r="G287" i="4"/>
  <c r="AA286" i="4"/>
  <c r="AB286" i="4" s="1"/>
  <c r="AC286" i="4" s="1"/>
  <c r="U286" i="4"/>
  <c r="V286" i="4" s="1"/>
  <c r="W286" i="4" s="1"/>
  <c r="O286" i="4"/>
  <c r="M286" i="4"/>
  <c r="L286" i="4"/>
  <c r="I286" i="4"/>
  <c r="G286" i="4"/>
  <c r="AB285" i="4"/>
  <c r="AC285" i="4" s="1"/>
  <c r="AA285" i="4"/>
  <c r="U285" i="4"/>
  <c r="O285" i="4"/>
  <c r="M285" i="4"/>
  <c r="L285" i="4"/>
  <c r="G285" i="4"/>
  <c r="I285" i="4" s="1"/>
  <c r="AB284" i="4"/>
  <c r="AC284" i="4" s="1"/>
  <c r="AA284" i="4"/>
  <c r="U284" i="4"/>
  <c r="V284" i="4" s="1"/>
  <c r="W284" i="4" s="1"/>
  <c r="O284" i="4"/>
  <c r="M284" i="4"/>
  <c r="L284" i="4"/>
  <c r="G284" i="4"/>
  <c r="I284" i="4" s="1"/>
  <c r="AA283" i="4"/>
  <c r="U283" i="4"/>
  <c r="O283" i="4"/>
  <c r="M283" i="4"/>
  <c r="L283" i="4"/>
  <c r="I283" i="4"/>
  <c r="G283" i="4"/>
  <c r="AA282" i="4"/>
  <c r="U282" i="4"/>
  <c r="O282" i="4"/>
  <c r="M282" i="4"/>
  <c r="L282" i="4"/>
  <c r="G282" i="4"/>
  <c r="I282" i="4" s="1"/>
  <c r="AC281" i="4"/>
  <c r="AB281" i="4"/>
  <c r="AA281" i="4"/>
  <c r="U281" i="4"/>
  <c r="P281" i="4"/>
  <c r="O281" i="4"/>
  <c r="M281" i="4"/>
  <c r="L281" i="4"/>
  <c r="N281" i="4" s="1"/>
  <c r="I281" i="4"/>
  <c r="G281" i="4"/>
  <c r="AA280" i="4"/>
  <c r="AB280" i="4" s="1"/>
  <c r="AC280" i="4" s="1"/>
  <c r="W280" i="4"/>
  <c r="U280" i="4"/>
  <c r="V280" i="4" s="1"/>
  <c r="O280" i="4"/>
  <c r="M280" i="4"/>
  <c r="L280" i="4"/>
  <c r="N280" i="4" s="1"/>
  <c r="P280" i="4" s="1"/>
  <c r="G280" i="4"/>
  <c r="I280" i="4" s="1"/>
  <c r="AA279" i="4"/>
  <c r="U279" i="4"/>
  <c r="O279" i="4"/>
  <c r="M279" i="4"/>
  <c r="AB279" i="4" s="1"/>
  <c r="AC279" i="4" s="1"/>
  <c r="L279" i="4"/>
  <c r="I279" i="4"/>
  <c r="G279" i="4"/>
  <c r="AA278" i="4"/>
  <c r="AB278" i="4" s="1"/>
  <c r="AC278" i="4" s="1"/>
  <c r="U278" i="4"/>
  <c r="V278" i="4" s="1"/>
  <c r="W278" i="4" s="1"/>
  <c r="P278" i="4"/>
  <c r="O278" i="4"/>
  <c r="M278" i="4"/>
  <c r="L278" i="4"/>
  <c r="N278" i="4" s="1"/>
  <c r="G278" i="4"/>
  <c r="I278" i="4" s="1"/>
  <c r="AA277" i="4"/>
  <c r="U277" i="4"/>
  <c r="O277" i="4"/>
  <c r="M277" i="4"/>
  <c r="AB277" i="4" s="1"/>
  <c r="AC277" i="4" s="1"/>
  <c r="L277" i="4"/>
  <c r="N277" i="4" s="1"/>
  <c r="P277" i="4" s="1"/>
  <c r="I277" i="4"/>
  <c r="G277" i="4"/>
  <c r="AB276" i="4"/>
  <c r="AC276" i="4" s="1"/>
  <c r="AA276" i="4"/>
  <c r="U276" i="4"/>
  <c r="V276" i="4" s="1"/>
  <c r="W276" i="4" s="1"/>
  <c r="O276" i="4"/>
  <c r="M276" i="4"/>
  <c r="L276" i="4"/>
  <c r="N276" i="4" s="1"/>
  <c r="P276" i="4" s="1"/>
  <c r="I276" i="4"/>
  <c r="G276" i="4"/>
  <c r="AA275" i="4"/>
  <c r="W275" i="4"/>
  <c r="U275" i="4"/>
  <c r="V275" i="4" s="1"/>
  <c r="O275" i="4"/>
  <c r="M275" i="4"/>
  <c r="AB275" i="4" s="1"/>
  <c r="AC275" i="4" s="1"/>
  <c r="L275" i="4"/>
  <c r="I275" i="4"/>
  <c r="G275" i="4"/>
  <c r="AA274" i="4"/>
  <c r="AB274" i="4" s="1"/>
  <c r="AC274" i="4" s="1"/>
  <c r="W274" i="4"/>
  <c r="U274" i="4"/>
  <c r="V274" i="4" s="1"/>
  <c r="O274" i="4"/>
  <c r="M274" i="4"/>
  <c r="L274" i="4"/>
  <c r="N274" i="4" s="1"/>
  <c r="P274" i="4" s="1"/>
  <c r="G274" i="4"/>
  <c r="I274" i="4" s="1"/>
  <c r="AA273" i="4"/>
  <c r="U273" i="4"/>
  <c r="V273" i="4" s="1"/>
  <c r="W273" i="4" s="1"/>
  <c r="O273" i="4"/>
  <c r="M273" i="4"/>
  <c r="AB273" i="4" s="1"/>
  <c r="AC273" i="4" s="1"/>
  <c r="L273" i="4"/>
  <c r="G273" i="4"/>
  <c r="I273" i="4" s="1"/>
  <c r="AC272" i="4"/>
  <c r="AA272" i="4"/>
  <c r="AB272" i="4" s="1"/>
  <c r="U272" i="4"/>
  <c r="V272" i="4" s="1"/>
  <c r="W272" i="4" s="1"/>
  <c r="O272" i="4"/>
  <c r="M272" i="4"/>
  <c r="L272" i="4"/>
  <c r="N272" i="4" s="1"/>
  <c r="P272" i="4" s="1"/>
  <c r="G272" i="4"/>
  <c r="I272" i="4" s="1"/>
  <c r="Q272" i="4" s="1"/>
  <c r="AB271" i="4"/>
  <c r="AC271" i="4" s="1"/>
  <c r="AA271" i="4"/>
  <c r="U271" i="4"/>
  <c r="O271" i="4"/>
  <c r="M271" i="4"/>
  <c r="L271" i="4"/>
  <c r="G271" i="4"/>
  <c r="I271" i="4" s="1"/>
  <c r="AB270" i="4"/>
  <c r="AC270" i="4" s="1"/>
  <c r="AA270" i="4"/>
  <c r="U270" i="4"/>
  <c r="V270" i="4" s="1"/>
  <c r="W270" i="4" s="1"/>
  <c r="P270" i="4"/>
  <c r="O270" i="4"/>
  <c r="M270" i="4"/>
  <c r="L270" i="4"/>
  <c r="N270" i="4" s="1"/>
  <c r="G270" i="4"/>
  <c r="I270" i="4" s="1"/>
  <c r="AA269" i="4"/>
  <c r="AB269" i="4" s="1"/>
  <c r="AC269" i="4" s="1"/>
  <c r="W269" i="4"/>
  <c r="U269" i="4"/>
  <c r="V269" i="4" s="1"/>
  <c r="O269" i="4"/>
  <c r="M269" i="4"/>
  <c r="L269" i="4"/>
  <c r="N269" i="4" s="1"/>
  <c r="P269" i="4" s="1"/>
  <c r="G269" i="4"/>
  <c r="I269" i="4" s="1"/>
  <c r="AB268" i="4"/>
  <c r="AC268" i="4" s="1"/>
  <c r="AA268" i="4"/>
  <c r="U268" i="4"/>
  <c r="V268" i="4" s="1"/>
  <c r="W268" i="4" s="1"/>
  <c r="O268" i="4"/>
  <c r="M268" i="4"/>
  <c r="L268" i="4"/>
  <c r="N268" i="4" s="1"/>
  <c r="P268" i="4" s="1"/>
  <c r="I268" i="4"/>
  <c r="Q268" i="4" s="1"/>
  <c r="G268" i="4"/>
  <c r="AA267" i="4"/>
  <c r="U267" i="4"/>
  <c r="O267" i="4"/>
  <c r="M267" i="4"/>
  <c r="AB267" i="4" s="1"/>
  <c r="AC267" i="4" s="1"/>
  <c r="L267" i="4"/>
  <c r="G267" i="4"/>
  <c r="I267" i="4" s="1"/>
  <c r="AA266" i="4"/>
  <c r="U266" i="4"/>
  <c r="O266" i="4"/>
  <c r="M266" i="4"/>
  <c r="AB266" i="4" s="1"/>
  <c r="AC266" i="4" s="1"/>
  <c r="L266" i="4"/>
  <c r="I266" i="4"/>
  <c r="G266" i="4"/>
  <c r="AA265" i="4"/>
  <c r="AB265" i="4" s="1"/>
  <c r="AC265" i="4" s="1"/>
  <c r="W265" i="4"/>
  <c r="U265" i="4"/>
  <c r="V265" i="4" s="1"/>
  <c r="O265" i="4"/>
  <c r="M265" i="4"/>
  <c r="L265" i="4"/>
  <c r="G265" i="4"/>
  <c r="I265" i="4" s="1"/>
  <c r="AC264" i="4"/>
  <c r="AB264" i="4"/>
  <c r="AA264" i="4"/>
  <c r="W264" i="4"/>
  <c r="U264" i="4"/>
  <c r="V264" i="4" s="1"/>
  <c r="O264" i="4"/>
  <c r="M264" i="4"/>
  <c r="L264" i="4"/>
  <c r="N264" i="4" s="1"/>
  <c r="P264" i="4" s="1"/>
  <c r="G264" i="4"/>
  <c r="I264" i="4" s="1"/>
  <c r="AB263" i="4"/>
  <c r="AC263" i="4" s="1"/>
  <c r="AA263" i="4"/>
  <c r="U263" i="4"/>
  <c r="O263" i="4"/>
  <c r="M263" i="4"/>
  <c r="L263" i="4"/>
  <c r="G263" i="4"/>
  <c r="I263" i="4" s="1"/>
  <c r="AA262" i="4"/>
  <c r="AB262" i="4" s="1"/>
  <c r="AC262" i="4" s="1"/>
  <c r="U262" i="4"/>
  <c r="O262" i="4"/>
  <c r="M262" i="4"/>
  <c r="L262" i="4"/>
  <c r="G262" i="4"/>
  <c r="I262" i="4" s="1"/>
  <c r="AB261" i="4"/>
  <c r="AC261" i="4" s="1"/>
  <c r="AA261" i="4"/>
  <c r="U261" i="4"/>
  <c r="V261" i="4" s="1"/>
  <c r="W261" i="4" s="1"/>
  <c r="O261" i="4"/>
  <c r="M261" i="4"/>
  <c r="L261" i="4"/>
  <c r="N261" i="4" s="1"/>
  <c r="P261" i="4" s="1"/>
  <c r="I261" i="4"/>
  <c r="G261" i="4"/>
  <c r="AA260" i="4"/>
  <c r="U260" i="4"/>
  <c r="O260" i="4"/>
  <c r="M260" i="4"/>
  <c r="AB260" i="4" s="1"/>
  <c r="AC260" i="4" s="1"/>
  <c r="L260" i="4"/>
  <c r="N260" i="4" s="1"/>
  <c r="P260" i="4" s="1"/>
  <c r="G260" i="4"/>
  <c r="I260" i="4" s="1"/>
  <c r="AA259" i="4"/>
  <c r="U259" i="4"/>
  <c r="O259" i="4"/>
  <c r="M259" i="4"/>
  <c r="AB259" i="4" s="1"/>
  <c r="AC259" i="4" s="1"/>
  <c r="L259" i="4"/>
  <c r="N259" i="4" s="1"/>
  <c r="P259" i="4" s="1"/>
  <c r="I259" i="4"/>
  <c r="G259" i="4"/>
  <c r="AB258" i="4"/>
  <c r="AC258" i="4" s="1"/>
  <c r="AA258" i="4"/>
  <c r="W258" i="4"/>
  <c r="U258" i="4"/>
  <c r="V258" i="4" s="1"/>
  <c r="O258" i="4"/>
  <c r="M258" i="4"/>
  <c r="L258" i="4"/>
  <c r="I258" i="4"/>
  <c r="G258" i="4"/>
  <c r="AB257" i="4"/>
  <c r="AC257" i="4" s="1"/>
  <c r="AA257" i="4"/>
  <c r="W257" i="4"/>
  <c r="U257" i="4"/>
  <c r="O257" i="4"/>
  <c r="M257" i="4"/>
  <c r="V257" i="4" s="1"/>
  <c r="L257" i="4"/>
  <c r="G257" i="4"/>
  <c r="I257" i="4" s="1"/>
  <c r="AB256" i="4"/>
  <c r="AC256" i="4" s="1"/>
  <c r="Q256" i="4" s="1"/>
  <c r="AA256" i="4"/>
  <c r="V256" i="4"/>
  <c r="W256" i="4" s="1"/>
  <c r="U256" i="4"/>
  <c r="O256" i="4"/>
  <c r="M256" i="4"/>
  <c r="L256" i="4"/>
  <c r="N256" i="4" s="1"/>
  <c r="P256" i="4" s="1"/>
  <c r="G256" i="4"/>
  <c r="I256" i="4" s="1"/>
  <c r="AB255" i="4"/>
  <c r="AC255" i="4" s="1"/>
  <c r="AA255" i="4"/>
  <c r="U255" i="4"/>
  <c r="V255" i="4" s="1"/>
  <c r="W255" i="4" s="1"/>
  <c r="O255" i="4"/>
  <c r="M255" i="4"/>
  <c r="L255" i="4"/>
  <c r="N255" i="4" s="1"/>
  <c r="P255" i="4" s="1"/>
  <c r="Q255" i="4" s="1"/>
  <c r="I255" i="4"/>
  <c r="G255" i="4"/>
  <c r="AC254" i="4"/>
  <c r="AB254" i="4"/>
  <c r="AA254" i="4"/>
  <c r="W254" i="4"/>
  <c r="U254" i="4"/>
  <c r="V254" i="4" s="1"/>
  <c r="P254" i="4"/>
  <c r="Q254" i="4" s="1"/>
  <c r="O254" i="4"/>
  <c r="M254" i="4"/>
  <c r="L254" i="4"/>
  <c r="N254" i="4" s="1"/>
  <c r="I254" i="4"/>
  <c r="G254" i="4"/>
  <c r="AC253" i="4"/>
  <c r="AB253" i="4"/>
  <c r="AA253" i="4"/>
  <c r="W253" i="4"/>
  <c r="U253" i="4"/>
  <c r="V253" i="4" s="1"/>
  <c r="O253" i="4"/>
  <c r="M253" i="4"/>
  <c r="L253" i="4"/>
  <c r="N253" i="4" s="1"/>
  <c r="P253" i="4" s="1"/>
  <c r="G253" i="4"/>
  <c r="I253" i="4" s="1"/>
  <c r="Q253" i="4" s="1"/>
  <c r="AA252" i="4"/>
  <c r="AB252" i="4" s="1"/>
  <c r="AC252" i="4" s="1"/>
  <c r="W252" i="4"/>
  <c r="U252" i="4"/>
  <c r="V252" i="4" s="1"/>
  <c r="P252" i="4"/>
  <c r="O252" i="4"/>
  <c r="M252" i="4"/>
  <c r="L252" i="4"/>
  <c r="N252" i="4" s="1"/>
  <c r="I252" i="4"/>
  <c r="G252" i="4"/>
  <c r="AC251" i="4"/>
  <c r="Q251" i="4" s="1"/>
  <c r="AB251" i="4"/>
  <c r="AA251" i="4"/>
  <c r="U251" i="4"/>
  <c r="V251" i="4" s="1"/>
  <c r="W251" i="4" s="1"/>
  <c r="P251" i="4"/>
  <c r="O251" i="4"/>
  <c r="M251" i="4"/>
  <c r="L251" i="4"/>
  <c r="N251" i="4" s="1"/>
  <c r="I251" i="4"/>
  <c r="G251" i="4"/>
  <c r="AA250" i="4"/>
  <c r="AB250" i="4" s="1"/>
  <c r="AC250" i="4" s="1"/>
  <c r="W250" i="4"/>
  <c r="U250" i="4"/>
  <c r="V250" i="4" s="1"/>
  <c r="P250" i="4"/>
  <c r="O250" i="4"/>
  <c r="M250" i="4"/>
  <c r="L250" i="4"/>
  <c r="N250" i="4" s="1"/>
  <c r="I250" i="4"/>
  <c r="G250" i="4"/>
  <c r="AA249" i="4"/>
  <c r="AB249" i="4" s="1"/>
  <c r="AC249" i="4" s="1"/>
  <c r="W249" i="4"/>
  <c r="U249" i="4"/>
  <c r="V249" i="4" s="1"/>
  <c r="Q249" i="4"/>
  <c r="O249" i="4"/>
  <c r="M249" i="4"/>
  <c r="L249" i="4"/>
  <c r="N249" i="4" s="1"/>
  <c r="P249" i="4" s="1"/>
  <c r="I249" i="4"/>
  <c r="G249" i="4"/>
  <c r="AA248" i="4"/>
  <c r="AB248" i="4" s="1"/>
  <c r="AC248" i="4" s="1"/>
  <c r="U248" i="4"/>
  <c r="V248" i="4" s="1"/>
  <c r="W248" i="4" s="1"/>
  <c r="Q248" i="4"/>
  <c r="P248" i="4"/>
  <c r="O248" i="4"/>
  <c r="M248" i="4"/>
  <c r="L248" i="4"/>
  <c r="N248" i="4" s="1"/>
  <c r="I248" i="4"/>
  <c r="G248" i="4"/>
  <c r="AC247" i="4"/>
  <c r="AB247" i="4"/>
  <c r="AA247" i="4"/>
  <c r="U247" i="4"/>
  <c r="V247" i="4" s="1"/>
  <c r="W247" i="4" s="1"/>
  <c r="O247" i="4"/>
  <c r="Q247" i="4" s="1"/>
  <c r="M247" i="4"/>
  <c r="L247" i="4"/>
  <c r="N247" i="4" s="1"/>
  <c r="P247" i="4" s="1"/>
  <c r="I247" i="4"/>
  <c r="G247" i="4"/>
  <c r="AA246" i="4"/>
  <c r="AB246" i="4" s="1"/>
  <c r="AC246" i="4" s="1"/>
  <c r="W246" i="4"/>
  <c r="U246" i="4"/>
  <c r="V246" i="4" s="1"/>
  <c r="O246" i="4"/>
  <c r="M246" i="4"/>
  <c r="L246" i="4"/>
  <c r="N246" i="4" s="1"/>
  <c r="P246" i="4" s="1"/>
  <c r="G246" i="4"/>
  <c r="I246" i="4" s="1"/>
  <c r="Q246" i="4" s="1"/>
  <c r="AC245" i="4"/>
  <c r="AB245" i="4"/>
  <c r="AA245" i="4"/>
  <c r="W245" i="4"/>
  <c r="U245" i="4"/>
  <c r="V245" i="4" s="1"/>
  <c r="O245" i="4"/>
  <c r="M245" i="4"/>
  <c r="L245" i="4"/>
  <c r="N245" i="4" s="1"/>
  <c r="P245" i="4" s="1"/>
  <c r="G245" i="4"/>
  <c r="I245" i="4" s="1"/>
  <c r="AA244" i="4"/>
  <c r="AB244" i="4" s="1"/>
  <c r="AC244" i="4" s="1"/>
  <c r="W244" i="4"/>
  <c r="U244" i="4"/>
  <c r="V244" i="4" s="1"/>
  <c r="P244" i="4"/>
  <c r="O244" i="4"/>
  <c r="M244" i="4"/>
  <c r="L244" i="4"/>
  <c r="N244" i="4" s="1"/>
  <c r="G244" i="4"/>
  <c r="I244" i="4" s="1"/>
  <c r="AB243" i="4"/>
  <c r="AC243" i="4" s="1"/>
  <c r="AA243" i="4"/>
  <c r="U243" i="4"/>
  <c r="V243" i="4" s="1"/>
  <c r="W243" i="4" s="1"/>
  <c r="P243" i="4"/>
  <c r="O243" i="4"/>
  <c r="M243" i="4"/>
  <c r="L243" i="4"/>
  <c r="N243" i="4" s="1"/>
  <c r="G243" i="4"/>
  <c r="I243" i="4" s="1"/>
  <c r="Q243" i="4" s="1"/>
  <c r="AC242" i="4"/>
  <c r="AB242" i="4"/>
  <c r="AA242" i="4"/>
  <c r="U242" i="4"/>
  <c r="V242" i="4" s="1"/>
  <c r="W242" i="4" s="1"/>
  <c r="O242" i="4"/>
  <c r="M242" i="4"/>
  <c r="L242" i="4"/>
  <c r="N242" i="4" s="1"/>
  <c r="P242" i="4" s="1"/>
  <c r="G242" i="4"/>
  <c r="I242" i="4" s="1"/>
  <c r="AA241" i="4"/>
  <c r="AB241" i="4" s="1"/>
  <c r="AC241" i="4" s="1"/>
  <c r="W241" i="4"/>
  <c r="U241" i="4"/>
  <c r="V241" i="4" s="1"/>
  <c r="P241" i="4"/>
  <c r="O241" i="4"/>
  <c r="M241" i="4"/>
  <c r="L241" i="4"/>
  <c r="N241" i="4" s="1"/>
  <c r="G241" i="4"/>
  <c r="I241" i="4" s="1"/>
  <c r="AC240" i="4"/>
  <c r="AB240" i="4"/>
  <c r="AA240" i="4"/>
  <c r="U240" i="4"/>
  <c r="V240" i="4" s="1"/>
  <c r="W240" i="4" s="1"/>
  <c r="P240" i="4"/>
  <c r="O240" i="4"/>
  <c r="M240" i="4"/>
  <c r="L240" i="4"/>
  <c r="N240" i="4" s="1"/>
  <c r="G240" i="4"/>
  <c r="I240" i="4" s="1"/>
  <c r="AA239" i="4"/>
  <c r="AB239" i="4" s="1"/>
  <c r="AC239" i="4" s="1"/>
  <c r="W239" i="4"/>
  <c r="U239" i="4"/>
  <c r="V239" i="4" s="1"/>
  <c r="O239" i="4"/>
  <c r="M239" i="4"/>
  <c r="L239" i="4"/>
  <c r="N239" i="4" s="1"/>
  <c r="P239" i="4" s="1"/>
  <c r="G239" i="4"/>
  <c r="I239" i="4" s="1"/>
  <c r="AA238" i="4"/>
  <c r="AB238" i="4" s="1"/>
  <c r="AC238" i="4" s="1"/>
  <c r="U238" i="4"/>
  <c r="V238" i="4" s="1"/>
  <c r="W238" i="4" s="1"/>
  <c r="P238" i="4"/>
  <c r="O238" i="4"/>
  <c r="M238" i="4"/>
  <c r="L238" i="4"/>
  <c r="N238" i="4" s="1"/>
  <c r="G238" i="4"/>
  <c r="I238" i="4" s="1"/>
  <c r="Q238" i="4" s="1"/>
  <c r="AB237" i="4"/>
  <c r="AC237" i="4" s="1"/>
  <c r="AA237" i="4"/>
  <c r="W237" i="4"/>
  <c r="U237" i="4"/>
  <c r="V237" i="4" s="1"/>
  <c r="O237" i="4"/>
  <c r="M237" i="4"/>
  <c r="L237" i="4"/>
  <c r="N237" i="4" s="1"/>
  <c r="P237" i="4" s="1"/>
  <c r="G237" i="4"/>
  <c r="I237" i="4" s="1"/>
  <c r="AA236" i="4"/>
  <c r="AB236" i="4" s="1"/>
  <c r="AC236" i="4" s="1"/>
  <c r="W236" i="4"/>
  <c r="U236" i="4"/>
  <c r="V236" i="4" s="1"/>
  <c r="Q236" i="4"/>
  <c r="P236" i="4"/>
  <c r="O236" i="4"/>
  <c r="M236" i="4"/>
  <c r="L236" i="4"/>
  <c r="N236" i="4" s="1"/>
  <c r="G236" i="4"/>
  <c r="I236" i="4" s="1"/>
  <c r="AA235" i="4"/>
  <c r="AB235" i="4" s="1"/>
  <c r="AC235" i="4" s="1"/>
  <c r="W235" i="4"/>
  <c r="U235" i="4"/>
  <c r="V235" i="4" s="1"/>
  <c r="P235" i="4"/>
  <c r="O235" i="4"/>
  <c r="M235" i="4"/>
  <c r="L235" i="4"/>
  <c r="N235" i="4" s="1"/>
  <c r="G235" i="4"/>
  <c r="I235" i="4" s="1"/>
  <c r="AA234" i="4"/>
  <c r="AB234" i="4" s="1"/>
  <c r="AC234" i="4" s="1"/>
  <c r="W234" i="4"/>
  <c r="U234" i="4"/>
  <c r="V234" i="4" s="1"/>
  <c r="O234" i="4"/>
  <c r="M234" i="4"/>
  <c r="L234" i="4"/>
  <c r="N234" i="4" s="1"/>
  <c r="P234" i="4" s="1"/>
  <c r="G234" i="4"/>
  <c r="I234" i="4" s="1"/>
  <c r="Q234" i="4" s="1"/>
  <c r="AC233" i="4"/>
  <c r="AA233" i="4"/>
  <c r="U233" i="4"/>
  <c r="O233" i="4"/>
  <c r="M233" i="4"/>
  <c r="AB233" i="4" s="1"/>
  <c r="L233" i="4"/>
  <c r="I233" i="4"/>
  <c r="G233" i="4"/>
  <c r="AA232" i="4"/>
  <c r="U232" i="4"/>
  <c r="O232" i="4"/>
  <c r="M232" i="4"/>
  <c r="N232" i="4" s="1"/>
  <c r="P232" i="4" s="1"/>
  <c r="L232" i="4"/>
  <c r="I232" i="4"/>
  <c r="G232" i="4"/>
  <c r="AA231" i="4"/>
  <c r="U231" i="4"/>
  <c r="O231" i="4"/>
  <c r="M231" i="4"/>
  <c r="AB231" i="4" s="1"/>
  <c r="AC231" i="4" s="1"/>
  <c r="L231" i="4"/>
  <c r="I231" i="4"/>
  <c r="G231" i="4"/>
  <c r="AB230" i="4"/>
  <c r="AC230" i="4" s="1"/>
  <c r="AA230" i="4"/>
  <c r="W230" i="4"/>
  <c r="U230" i="4"/>
  <c r="V230" i="4" s="1"/>
  <c r="O230" i="4"/>
  <c r="M230" i="4"/>
  <c r="L230" i="4"/>
  <c r="N230" i="4" s="1"/>
  <c r="P230" i="4" s="1"/>
  <c r="I230" i="4"/>
  <c r="G230" i="4"/>
  <c r="AA229" i="4"/>
  <c r="AB229" i="4" s="1"/>
  <c r="AC229" i="4" s="1"/>
  <c r="W229" i="4"/>
  <c r="U229" i="4"/>
  <c r="V229" i="4" s="1"/>
  <c r="Q229" i="4"/>
  <c r="O229" i="4"/>
  <c r="N229" i="4"/>
  <c r="P229" i="4" s="1"/>
  <c r="M229" i="4"/>
  <c r="L229" i="4"/>
  <c r="I229" i="4"/>
  <c r="G229" i="4"/>
  <c r="AA228" i="4"/>
  <c r="U228" i="4"/>
  <c r="O228" i="4"/>
  <c r="M228" i="4"/>
  <c r="L228" i="4"/>
  <c r="I228" i="4"/>
  <c r="G228" i="4"/>
  <c r="AC227" i="4"/>
  <c r="AB227" i="4"/>
  <c r="AA227" i="4"/>
  <c r="U227" i="4"/>
  <c r="V227" i="4" s="1"/>
  <c r="W227" i="4" s="1"/>
  <c r="O227" i="4"/>
  <c r="Q227" i="4" s="1"/>
  <c r="M227" i="4"/>
  <c r="L227" i="4"/>
  <c r="N227" i="4" s="1"/>
  <c r="P227" i="4" s="1"/>
  <c r="I227" i="4"/>
  <c r="G227" i="4"/>
  <c r="AB226" i="4"/>
  <c r="AC226" i="4" s="1"/>
  <c r="AA226" i="4"/>
  <c r="U226" i="4"/>
  <c r="O226" i="4"/>
  <c r="N226" i="4"/>
  <c r="P226" i="4" s="1"/>
  <c r="M226" i="4"/>
  <c r="L226" i="4"/>
  <c r="I226" i="4"/>
  <c r="G226" i="4"/>
  <c r="AA225" i="4"/>
  <c r="AB225" i="4" s="1"/>
  <c r="AC225" i="4" s="1"/>
  <c r="U225" i="4"/>
  <c r="P225" i="4"/>
  <c r="O225" i="4"/>
  <c r="N225" i="4"/>
  <c r="M225" i="4"/>
  <c r="L225" i="4"/>
  <c r="I225" i="4"/>
  <c r="G225" i="4"/>
  <c r="AA224" i="4"/>
  <c r="U224" i="4"/>
  <c r="V224" i="4" s="1"/>
  <c r="W224" i="4" s="1"/>
  <c r="O224" i="4"/>
  <c r="N224" i="4"/>
  <c r="P224" i="4" s="1"/>
  <c r="M224" i="4"/>
  <c r="L224" i="4"/>
  <c r="I224" i="4"/>
  <c r="G224" i="4"/>
  <c r="AA223" i="4"/>
  <c r="U223" i="4"/>
  <c r="O223" i="4"/>
  <c r="M223" i="4"/>
  <c r="L223" i="4"/>
  <c r="N223" i="4" s="1"/>
  <c r="P223" i="4" s="1"/>
  <c r="I223" i="4"/>
  <c r="G223" i="4"/>
  <c r="AB222" i="4"/>
  <c r="AC222" i="4" s="1"/>
  <c r="AA222" i="4"/>
  <c r="U222" i="4"/>
  <c r="V222" i="4" s="1"/>
  <c r="W222" i="4" s="1"/>
  <c r="O222" i="4"/>
  <c r="M222" i="4"/>
  <c r="L222" i="4"/>
  <c r="I222" i="4"/>
  <c r="G222" i="4"/>
  <c r="AC221" i="4"/>
  <c r="AA221" i="4"/>
  <c r="AB221" i="4" s="1"/>
  <c r="U221" i="4"/>
  <c r="P221" i="4"/>
  <c r="O221" i="4"/>
  <c r="M221" i="4"/>
  <c r="L221" i="4"/>
  <c r="N221" i="4" s="1"/>
  <c r="I221" i="4"/>
  <c r="G221" i="4"/>
  <c r="AC220" i="4"/>
  <c r="AB220" i="4"/>
  <c r="AA220" i="4"/>
  <c r="U220" i="4"/>
  <c r="O220" i="4"/>
  <c r="N220" i="4"/>
  <c r="P220" i="4" s="1"/>
  <c r="M220" i="4"/>
  <c r="L220" i="4"/>
  <c r="I220" i="4"/>
  <c r="G220" i="4"/>
  <c r="AA219" i="4"/>
  <c r="AB219" i="4" s="1"/>
  <c r="AC219" i="4" s="1"/>
  <c r="U219" i="4"/>
  <c r="O219" i="4"/>
  <c r="M219" i="4"/>
  <c r="N219" i="4" s="1"/>
  <c r="P219" i="4" s="1"/>
  <c r="L219" i="4"/>
  <c r="G219" i="4"/>
  <c r="I219" i="4" s="1"/>
  <c r="AB218" i="4"/>
  <c r="AC218" i="4" s="1"/>
  <c r="AA218" i="4"/>
  <c r="U218" i="4"/>
  <c r="O218" i="4"/>
  <c r="M218" i="4"/>
  <c r="L218" i="4"/>
  <c r="N218" i="4" s="1"/>
  <c r="P218" i="4" s="1"/>
  <c r="I218" i="4"/>
  <c r="G218" i="4"/>
  <c r="AB217" i="4"/>
  <c r="AC217" i="4" s="1"/>
  <c r="AA217" i="4"/>
  <c r="W217" i="4"/>
  <c r="U217" i="4"/>
  <c r="V217" i="4" s="1"/>
  <c r="O217" i="4"/>
  <c r="M217" i="4"/>
  <c r="L217" i="4"/>
  <c r="I217" i="4"/>
  <c r="G217" i="4"/>
  <c r="AB216" i="4"/>
  <c r="AC216" i="4" s="1"/>
  <c r="AA216" i="4"/>
  <c r="W216" i="4"/>
  <c r="Q216" i="4" s="1"/>
  <c r="U216" i="4"/>
  <c r="V216" i="4" s="1"/>
  <c r="O216" i="4"/>
  <c r="M216" i="4"/>
  <c r="L216" i="4"/>
  <c r="N216" i="4" s="1"/>
  <c r="P216" i="4" s="1"/>
  <c r="I216" i="4"/>
  <c r="G216" i="4"/>
  <c r="AC215" i="4"/>
  <c r="AA215" i="4"/>
  <c r="AB215" i="4" s="1"/>
  <c r="U215" i="4"/>
  <c r="V215" i="4" s="1"/>
  <c r="W215" i="4" s="1"/>
  <c r="O215" i="4"/>
  <c r="M215" i="4"/>
  <c r="L215" i="4"/>
  <c r="N215" i="4" s="1"/>
  <c r="P215" i="4" s="1"/>
  <c r="G215" i="4"/>
  <c r="I215" i="4" s="1"/>
  <c r="Q215" i="4" s="1"/>
  <c r="AA214" i="4"/>
  <c r="AB214" i="4" s="1"/>
  <c r="AC214" i="4" s="1"/>
  <c r="W214" i="4"/>
  <c r="V214" i="4"/>
  <c r="U214" i="4"/>
  <c r="O214" i="4"/>
  <c r="M214" i="4"/>
  <c r="L214" i="4"/>
  <c r="N214" i="4" s="1"/>
  <c r="P214" i="4" s="1"/>
  <c r="I214" i="4"/>
  <c r="G214" i="4"/>
  <c r="AC213" i="4"/>
  <c r="AA213" i="4"/>
  <c r="AB213" i="4" s="1"/>
  <c r="U213" i="4"/>
  <c r="V213" i="4" s="1"/>
  <c r="W213" i="4" s="1"/>
  <c r="O213" i="4"/>
  <c r="M213" i="4"/>
  <c r="L213" i="4"/>
  <c r="N213" i="4" s="1"/>
  <c r="P213" i="4" s="1"/>
  <c r="G213" i="4"/>
  <c r="I213" i="4" s="1"/>
  <c r="AA212" i="4"/>
  <c r="AB212" i="4" s="1"/>
  <c r="AC212" i="4" s="1"/>
  <c r="U212" i="4"/>
  <c r="V212" i="4" s="1"/>
  <c r="W212" i="4" s="1"/>
  <c r="Q212" i="4" s="1"/>
  <c r="O212" i="4"/>
  <c r="M212" i="4"/>
  <c r="L212" i="4"/>
  <c r="N212" i="4" s="1"/>
  <c r="P212" i="4" s="1"/>
  <c r="I212" i="4"/>
  <c r="G212" i="4"/>
  <c r="AA211" i="4"/>
  <c r="U211" i="4"/>
  <c r="V211" i="4" s="1"/>
  <c r="W211" i="4" s="1"/>
  <c r="O211" i="4"/>
  <c r="M211" i="4"/>
  <c r="L211" i="4"/>
  <c r="N211" i="4" s="1"/>
  <c r="P211" i="4" s="1"/>
  <c r="G211" i="4"/>
  <c r="I211" i="4" s="1"/>
  <c r="AA210" i="4"/>
  <c r="U210" i="4"/>
  <c r="O210" i="4"/>
  <c r="M210" i="4"/>
  <c r="V210" i="4" s="1"/>
  <c r="W210" i="4" s="1"/>
  <c r="L210" i="4"/>
  <c r="I210" i="4"/>
  <c r="G210" i="4"/>
  <c r="AC209" i="4"/>
  <c r="AA209" i="4"/>
  <c r="AB209" i="4" s="1"/>
  <c r="W209" i="4"/>
  <c r="V209" i="4"/>
  <c r="U209" i="4"/>
  <c r="O209" i="4"/>
  <c r="M209" i="4"/>
  <c r="L209" i="4"/>
  <c r="N209" i="4" s="1"/>
  <c r="P209" i="4" s="1"/>
  <c r="G209" i="4"/>
  <c r="I209" i="4" s="1"/>
  <c r="AA208" i="4"/>
  <c r="AB208" i="4" s="1"/>
  <c r="AC208" i="4" s="1"/>
  <c r="U208" i="4"/>
  <c r="V208" i="4" s="1"/>
  <c r="W208" i="4" s="1"/>
  <c r="O208" i="4"/>
  <c r="M208" i="4"/>
  <c r="L208" i="4"/>
  <c r="I208" i="4"/>
  <c r="G208" i="4"/>
  <c r="AA207" i="4"/>
  <c r="AB207" i="4" s="1"/>
  <c r="AC207" i="4" s="1"/>
  <c r="V207" i="4"/>
  <c r="W207" i="4" s="1"/>
  <c r="U207" i="4"/>
  <c r="P207" i="4"/>
  <c r="O207" i="4"/>
  <c r="M207" i="4"/>
  <c r="L207" i="4"/>
  <c r="N207" i="4" s="1"/>
  <c r="G207" i="4"/>
  <c r="I207" i="4" s="1"/>
  <c r="AB206" i="4"/>
  <c r="AC206" i="4" s="1"/>
  <c r="AA206" i="4"/>
  <c r="W206" i="4"/>
  <c r="U206" i="4"/>
  <c r="V206" i="4" s="1"/>
  <c r="O206" i="4"/>
  <c r="M206" i="4"/>
  <c r="L206" i="4"/>
  <c r="I206" i="4"/>
  <c r="G206" i="4"/>
  <c r="AA205" i="4"/>
  <c r="AB205" i="4" s="1"/>
  <c r="AC205" i="4" s="1"/>
  <c r="U205" i="4"/>
  <c r="V205" i="4" s="1"/>
  <c r="W205" i="4" s="1"/>
  <c r="O205" i="4"/>
  <c r="M205" i="4"/>
  <c r="L205" i="4"/>
  <c r="G205" i="4"/>
  <c r="I205" i="4" s="1"/>
  <c r="AA204" i="4"/>
  <c r="U204" i="4"/>
  <c r="O204" i="4"/>
  <c r="M204" i="4"/>
  <c r="AB204" i="4" s="1"/>
  <c r="AC204" i="4" s="1"/>
  <c r="L204" i="4"/>
  <c r="I204" i="4"/>
  <c r="G204" i="4"/>
  <c r="AA203" i="4"/>
  <c r="AB203" i="4" s="1"/>
  <c r="AC203" i="4" s="1"/>
  <c r="V203" i="4"/>
  <c r="W203" i="4" s="1"/>
  <c r="U203" i="4"/>
  <c r="O203" i="4"/>
  <c r="M203" i="4"/>
  <c r="L203" i="4"/>
  <c r="N203" i="4" s="1"/>
  <c r="P203" i="4" s="1"/>
  <c r="I203" i="4"/>
  <c r="G203" i="4"/>
  <c r="AA202" i="4"/>
  <c r="U202" i="4"/>
  <c r="O202" i="4"/>
  <c r="M202" i="4"/>
  <c r="AB202" i="4" s="1"/>
  <c r="AC202" i="4" s="1"/>
  <c r="L202" i="4"/>
  <c r="I202" i="4"/>
  <c r="G202" i="4"/>
  <c r="AA201" i="4"/>
  <c r="U201" i="4"/>
  <c r="O201" i="4"/>
  <c r="M201" i="4"/>
  <c r="V201" i="4" s="1"/>
  <c r="W201" i="4" s="1"/>
  <c r="L201" i="4"/>
  <c r="G201" i="4"/>
  <c r="I201" i="4" s="1"/>
  <c r="AA200" i="4"/>
  <c r="U200" i="4"/>
  <c r="O200" i="4"/>
  <c r="M200" i="4"/>
  <c r="AB200" i="4" s="1"/>
  <c r="AC200" i="4" s="1"/>
  <c r="L200" i="4"/>
  <c r="I200" i="4"/>
  <c r="G200" i="4"/>
  <c r="AC199" i="4"/>
  <c r="AB199" i="4"/>
  <c r="AA199" i="4"/>
  <c r="U199" i="4"/>
  <c r="O199" i="4"/>
  <c r="M199" i="4"/>
  <c r="V199" i="4" s="1"/>
  <c r="W199" i="4" s="1"/>
  <c r="L199" i="4"/>
  <c r="N199" i="4" s="1"/>
  <c r="P199" i="4" s="1"/>
  <c r="G199" i="4"/>
  <c r="I199" i="4" s="1"/>
  <c r="Q199" i="4" s="1"/>
  <c r="AB198" i="4"/>
  <c r="AC198" i="4" s="1"/>
  <c r="AA198" i="4"/>
  <c r="U198" i="4"/>
  <c r="V198" i="4" s="1"/>
  <c r="W198" i="4" s="1"/>
  <c r="O198" i="4"/>
  <c r="M198" i="4"/>
  <c r="L198" i="4"/>
  <c r="G198" i="4"/>
  <c r="I198" i="4" s="1"/>
  <c r="AC197" i="4"/>
  <c r="AA197" i="4"/>
  <c r="AB197" i="4" s="1"/>
  <c r="W197" i="4"/>
  <c r="V197" i="4"/>
  <c r="U197" i="4"/>
  <c r="O197" i="4"/>
  <c r="M197" i="4"/>
  <c r="L197" i="4"/>
  <c r="N197" i="4" s="1"/>
  <c r="P197" i="4" s="1"/>
  <c r="G197" i="4"/>
  <c r="I197" i="4" s="1"/>
  <c r="AC196" i="4"/>
  <c r="AB196" i="4"/>
  <c r="AA196" i="4"/>
  <c r="W196" i="4"/>
  <c r="V196" i="4"/>
  <c r="U196" i="4"/>
  <c r="O196" i="4"/>
  <c r="M196" i="4"/>
  <c r="L196" i="4"/>
  <c r="I196" i="4"/>
  <c r="G196" i="4"/>
  <c r="AB195" i="4"/>
  <c r="AC195" i="4" s="1"/>
  <c r="AA195" i="4"/>
  <c r="W195" i="4"/>
  <c r="V195" i="4"/>
  <c r="U195" i="4"/>
  <c r="O195" i="4"/>
  <c r="M195" i="4"/>
  <c r="L195" i="4"/>
  <c r="N195" i="4" s="1"/>
  <c r="P195" i="4" s="1"/>
  <c r="G195" i="4"/>
  <c r="I195" i="4" s="1"/>
  <c r="AB194" i="4"/>
  <c r="AC194" i="4" s="1"/>
  <c r="AA194" i="4"/>
  <c r="U194" i="4"/>
  <c r="V194" i="4" s="1"/>
  <c r="W194" i="4" s="1"/>
  <c r="O194" i="4"/>
  <c r="M194" i="4"/>
  <c r="L194" i="4"/>
  <c r="I194" i="4"/>
  <c r="G194" i="4"/>
  <c r="AA193" i="4"/>
  <c r="AB193" i="4" s="1"/>
  <c r="AC193" i="4" s="1"/>
  <c r="U193" i="4"/>
  <c r="V193" i="4" s="1"/>
  <c r="W193" i="4" s="1"/>
  <c r="P193" i="4"/>
  <c r="O193" i="4"/>
  <c r="M193" i="4"/>
  <c r="L193" i="4"/>
  <c r="N193" i="4" s="1"/>
  <c r="G193" i="4"/>
  <c r="I193" i="4" s="1"/>
  <c r="AB192" i="4"/>
  <c r="AC192" i="4" s="1"/>
  <c r="AA192" i="4"/>
  <c r="U192" i="4"/>
  <c r="V192" i="4" s="1"/>
  <c r="W192" i="4" s="1"/>
  <c r="O192" i="4"/>
  <c r="M192" i="4"/>
  <c r="L192" i="4"/>
  <c r="I192" i="4"/>
  <c r="G192" i="4"/>
  <c r="AA191" i="4"/>
  <c r="AB191" i="4" s="1"/>
  <c r="AC191" i="4" s="1"/>
  <c r="V191" i="4"/>
  <c r="W191" i="4" s="1"/>
  <c r="U191" i="4"/>
  <c r="O191" i="4"/>
  <c r="M191" i="4"/>
  <c r="L191" i="4"/>
  <c r="G191" i="4"/>
  <c r="I191" i="4" s="1"/>
  <c r="AA190" i="4"/>
  <c r="U190" i="4"/>
  <c r="O190" i="4"/>
  <c r="M190" i="4"/>
  <c r="AB190" i="4" s="1"/>
  <c r="AC190" i="4" s="1"/>
  <c r="L190" i="4"/>
  <c r="I190" i="4"/>
  <c r="G190" i="4"/>
  <c r="AA189" i="4"/>
  <c r="U189" i="4"/>
  <c r="O189" i="4"/>
  <c r="M189" i="4"/>
  <c r="V189" i="4" s="1"/>
  <c r="W189" i="4" s="1"/>
  <c r="L189" i="4"/>
  <c r="N189" i="4" s="1"/>
  <c r="P189" i="4" s="1"/>
  <c r="I189" i="4"/>
  <c r="G189" i="4"/>
  <c r="AA188" i="4"/>
  <c r="U188" i="4"/>
  <c r="V188" i="4" s="1"/>
  <c r="W188" i="4" s="1"/>
  <c r="O188" i="4"/>
  <c r="M188" i="4"/>
  <c r="AB188" i="4" s="1"/>
  <c r="AC188" i="4" s="1"/>
  <c r="L188" i="4"/>
  <c r="N188" i="4" s="1"/>
  <c r="P188" i="4" s="1"/>
  <c r="I188" i="4"/>
  <c r="G188" i="4"/>
  <c r="AA187" i="4"/>
  <c r="U187" i="4"/>
  <c r="O187" i="4"/>
  <c r="M187" i="4"/>
  <c r="V187" i="4" s="1"/>
  <c r="W187" i="4" s="1"/>
  <c r="L187" i="4"/>
  <c r="I187" i="4"/>
  <c r="G187" i="4"/>
  <c r="AA186" i="4"/>
  <c r="U186" i="4"/>
  <c r="O186" i="4"/>
  <c r="M186" i="4"/>
  <c r="AB186" i="4" s="1"/>
  <c r="AC186" i="4" s="1"/>
  <c r="L186" i="4"/>
  <c r="I186" i="4"/>
  <c r="G186" i="4"/>
  <c r="AC185" i="4"/>
  <c r="AB185" i="4"/>
  <c r="AA185" i="4"/>
  <c r="U185" i="4"/>
  <c r="O185" i="4"/>
  <c r="M185" i="4"/>
  <c r="V185" i="4" s="1"/>
  <c r="W185" i="4" s="1"/>
  <c r="L185" i="4"/>
  <c r="N185" i="4" s="1"/>
  <c r="P185" i="4" s="1"/>
  <c r="G185" i="4"/>
  <c r="I185" i="4" s="1"/>
  <c r="Q185" i="4" s="1"/>
  <c r="AB184" i="4"/>
  <c r="AC184" i="4" s="1"/>
  <c r="AA184" i="4"/>
  <c r="U184" i="4"/>
  <c r="V184" i="4" s="1"/>
  <c r="W184" i="4" s="1"/>
  <c r="O184" i="4"/>
  <c r="M184" i="4"/>
  <c r="L184" i="4"/>
  <c r="I184" i="4"/>
  <c r="G184" i="4"/>
  <c r="AC183" i="4"/>
  <c r="AB183" i="4"/>
  <c r="AA183" i="4"/>
  <c r="W183" i="4"/>
  <c r="V183" i="4"/>
  <c r="U183" i="4"/>
  <c r="O183" i="4"/>
  <c r="M183" i="4"/>
  <c r="L183" i="4"/>
  <c r="N183" i="4" s="1"/>
  <c r="P183" i="4" s="1"/>
  <c r="G183" i="4"/>
  <c r="I183" i="4" s="1"/>
  <c r="AB182" i="4"/>
  <c r="AC182" i="4" s="1"/>
  <c r="AA182" i="4"/>
  <c r="W182" i="4"/>
  <c r="V182" i="4"/>
  <c r="U182" i="4"/>
  <c r="O182" i="4"/>
  <c r="M182" i="4"/>
  <c r="L182" i="4"/>
  <c r="I182" i="4"/>
  <c r="G182" i="4"/>
  <c r="AB181" i="4"/>
  <c r="AC181" i="4" s="1"/>
  <c r="AA181" i="4"/>
  <c r="V181" i="4"/>
  <c r="W181" i="4" s="1"/>
  <c r="U181" i="4"/>
  <c r="O181" i="4"/>
  <c r="M181" i="4"/>
  <c r="L181" i="4"/>
  <c r="N181" i="4" s="1"/>
  <c r="P181" i="4" s="1"/>
  <c r="G181" i="4"/>
  <c r="I181" i="4" s="1"/>
  <c r="AA180" i="4"/>
  <c r="AB180" i="4" s="1"/>
  <c r="AC180" i="4" s="1"/>
  <c r="V180" i="4"/>
  <c r="W180" i="4" s="1"/>
  <c r="U180" i="4"/>
  <c r="O180" i="4"/>
  <c r="M180" i="4"/>
  <c r="L180" i="4"/>
  <c r="I180" i="4"/>
  <c r="G180" i="4"/>
  <c r="AC179" i="4"/>
  <c r="AA179" i="4"/>
  <c r="AB179" i="4" s="1"/>
  <c r="U179" i="4"/>
  <c r="V179" i="4" s="1"/>
  <c r="W179" i="4" s="1"/>
  <c r="P179" i="4"/>
  <c r="O179" i="4"/>
  <c r="M179" i="4"/>
  <c r="L179" i="4"/>
  <c r="N179" i="4" s="1"/>
  <c r="G179" i="4"/>
  <c r="I179" i="4" s="1"/>
  <c r="AB178" i="4"/>
  <c r="AC178" i="4" s="1"/>
  <c r="AA178" i="4"/>
  <c r="V178" i="4"/>
  <c r="W178" i="4" s="1"/>
  <c r="U178" i="4"/>
  <c r="O178" i="4"/>
  <c r="M178" i="4"/>
  <c r="L178" i="4"/>
  <c r="I178" i="4"/>
  <c r="G178" i="4"/>
  <c r="AA177" i="4"/>
  <c r="AB177" i="4" s="1"/>
  <c r="AC177" i="4" s="1"/>
  <c r="U177" i="4"/>
  <c r="V177" i="4" s="1"/>
  <c r="W177" i="4" s="1"/>
  <c r="O177" i="4"/>
  <c r="M177" i="4"/>
  <c r="L177" i="4"/>
  <c r="G177" i="4"/>
  <c r="I177" i="4" s="1"/>
  <c r="AA176" i="4"/>
  <c r="U176" i="4"/>
  <c r="O176" i="4"/>
  <c r="M176" i="4"/>
  <c r="AB176" i="4" s="1"/>
  <c r="AC176" i="4" s="1"/>
  <c r="L176" i="4"/>
  <c r="I176" i="4"/>
  <c r="G176" i="4"/>
  <c r="AA175" i="4"/>
  <c r="AB175" i="4" s="1"/>
  <c r="AC175" i="4" s="1"/>
  <c r="V175" i="4"/>
  <c r="W175" i="4" s="1"/>
  <c r="U175" i="4"/>
  <c r="O175" i="4"/>
  <c r="M175" i="4"/>
  <c r="L175" i="4"/>
  <c r="N175" i="4" s="1"/>
  <c r="P175" i="4" s="1"/>
  <c r="I175" i="4"/>
  <c r="G175" i="4"/>
  <c r="AA174" i="4"/>
  <c r="U174" i="4"/>
  <c r="O174" i="4"/>
  <c r="M174" i="4"/>
  <c r="AB174" i="4" s="1"/>
  <c r="AC174" i="4" s="1"/>
  <c r="L174" i="4"/>
  <c r="I174" i="4"/>
  <c r="G174" i="4"/>
  <c r="AA173" i="4"/>
  <c r="AB173" i="4" s="1"/>
  <c r="AC173" i="4" s="1"/>
  <c r="U173" i="4"/>
  <c r="O173" i="4"/>
  <c r="M173" i="4"/>
  <c r="V173" i="4" s="1"/>
  <c r="W173" i="4" s="1"/>
  <c r="L173" i="4"/>
  <c r="N173" i="4" s="1"/>
  <c r="P173" i="4" s="1"/>
  <c r="G173" i="4"/>
  <c r="I173" i="4" s="1"/>
  <c r="AA172" i="4"/>
  <c r="U172" i="4"/>
  <c r="V172" i="4" s="1"/>
  <c r="W172" i="4" s="1"/>
  <c r="O172" i="4"/>
  <c r="M172" i="4"/>
  <c r="AB172" i="4" s="1"/>
  <c r="AC172" i="4" s="1"/>
  <c r="L172" i="4"/>
  <c r="G172" i="4"/>
  <c r="I172" i="4" s="1"/>
  <c r="AA171" i="4"/>
  <c r="U171" i="4"/>
  <c r="O171" i="4"/>
  <c r="M171" i="4"/>
  <c r="L171" i="4"/>
  <c r="N171" i="4" s="1"/>
  <c r="P171" i="4" s="1"/>
  <c r="I171" i="4"/>
  <c r="G171" i="4"/>
  <c r="AA170" i="4"/>
  <c r="U170" i="4"/>
  <c r="O170" i="4"/>
  <c r="M170" i="4"/>
  <c r="L170" i="4"/>
  <c r="G170" i="4"/>
  <c r="I170" i="4" s="1"/>
  <c r="AA169" i="4"/>
  <c r="U169" i="4"/>
  <c r="O169" i="4"/>
  <c r="M169" i="4"/>
  <c r="L169" i="4"/>
  <c r="I169" i="4"/>
  <c r="G169" i="4"/>
  <c r="AA168" i="4"/>
  <c r="U168" i="4"/>
  <c r="O168" i="4"/>
  <c r="M168" i="4"/>
  <c r="L168" i="4"/>
  <c r="N168" i="4" s="1"/>
  <c r="P168" i="4" s="1"/>
  <c r="G168" i="4"/>
  <c r="I168" i="4" s="1"/>
  <c r="AA167" i="4"/>
  <c r="U167" i="4"/>
  <c r="O167" i="4"/>
  <c r="M167" i="4"/>
  <c r="L167" i="4"/>
  <c r="I167" i="4"/>
  <c r="G167" i="4"/>
  <c r="AA166" i="4"/>
  <c r="U166" i="4"/>
  <c r="O166" i="4"/>
  <c r="M166" i="4"/>
  <c r="L166" i="4"/>
  <c r="N166" i="4" s="1"/>
  <c r="P166" i="4" s="1"/>
  <c r="G166" i="4"/>
  <c r="I166" i="4" s="1"/>
  <c r="AA165" i="4"/>
  <c r="U165" i="4"/>
  <c r="O165" i="4"/>
  <c r="M165" i="4"/>
  <c r="L165" i="4"/>
  <c r="I165" i="4"/>
  <c r="G165" i="4"/>
  <c r="AA164" i="4"/>
  <c r="U164" i="4"/>
  <c r="O164" i="4"/>
  <c r="M164" i="4"/>
  <c r="L164" i="4"/>
  <c r="N164" i="4" s="1"/>
  <c r="P164" i="4" s="1"/>
  <c r="G164" i="4"/>
  <c r="I164" i="4" s="1"/>
  <c r="AA163" i="4"/>
  <c r="U163" i="4"/>
  <c r="O163" i="4"/>
  <c r="M163" i="4"/>
  <c r="L163" i="4"/>
  <c r="G163" i="4"/>
  <c r="I163" i="4" s="1"/>
  <c r="AA162" i="4"/>
  <c r="U162" i="4"/>
  <c r="O162" i="4"/>
  <c r="M162" i="4"/>
  <c r="L162" i="4"/>
  <c r="N162" i="4" s="1"/>
  <c r="P162" i="4" s="1"/>
  <c r="I162" i="4"/>
  <c r="G162" i="4"/>
  <c r="AA161" i="4"/>
  <c r="U161" i="4"/>
  <c r="O161" i="4"/>
  <c r="M161" i="4"/>
  <c r="L161" i="4"/>
  <c r="N161" i="4" s="1"/>
  <c r="P161" i="4" s="1"/>
  <c r="G161" i="4"/>
  <c r="I161" i="4" s="1"/>
  <c r="AA160" i="4"/>
  <c r="U160" i="4"/>
  <c r="O160" i="4"/>
  <c r="M160" i="4"/>
  <c r="L160" i="4"/>
  <c r="I160" i="4"/>
  <c r="G160" i="4"/>
  <c r="AA159" i="4"/>
  <c r="U159" i="4"/>
  <c r="O159" i="4"/>
  <c r="M159" i="4"/>
  <c r="L159" i="4"/>
  <c r="N159" i="4" s="1"/>
  <c r="P159" i="4" s="1"/>
  <c r="G159" i="4"/>
  <c r="I159" i="4" s="1"/>
  <c r="AA158" i="4"/>
  <c r="U158" i="4"/>
  <c r="O158" i="4"/>
  <c r="M158" i="4"/>
  <c r="L158" i="4"/>
  <c r="I158" i="4"/>
  <c r="G158" i="4"/>
  <c r="AA157" i="4"/>
  <c r="U157" i="4"/>
  <c r="O157" i="4"/>
  <c r="M157" i="4"/>
  <c r="L157" i="4"/>
  <c r="N157" i="4" s="1"/>
  <c r="P157" i="4" s="1"/>
  <c r="I157" i="4"/>
  <c r="G157" i="4"/>
  <c r="AA156" i="4"/>
  <c r="U156" i="4"/>
  <c r="O156" i="4"/>
  <c r="M156" i="4"/>
  <c r="L156" i="4"/>
  <c r="G156" i="4"/>
  <c r="I156" i="4" s="1"/>
  <c r="AA155" i="4"/>
  <c r="U155" i="4"/>
  <c r="O155" i="4"/>
  <c r="M155" i="4"/>
  <c r="L155" i="4"/>
  <c r="I155" i="4"/>
  <c r="G155" i="4"/>
  <c r="AA154" i="4"/>
  <c r="U154" i="4"/>
  <c r="O154" i="4"/>
  <c r="M154" i="4"/>
  <c r="L154" i="4"/>
  <c r="N154" i="4" s="1"/>
  <c r="P154" i="4" s="1"/>
  <c r="G154" i="4"/>
  <c r="I154" i="4" s="1"/>
  <c r="AA153" i="4"/>
  <c r="U153" i="4"/>
  <c r="O153" i="4"/>
  <c r="M153" i="4"/>
  <c r="L153" i="4"/>
  <c r="I153" i="4"/>
  <c r="G153" i="4"/>
  <c r="AA152" i="4"/>
  <c r="U152" i="4"/>
  <c r="O152" i="4"/>
  <c r="M152" i="4"/>
  <c r="L152" i="4"/>
  <c r="N152" i="4" s="1"/>
  <c r="P152" i="4" s="1"/>
  <c r="G152" i="4"/>
  <c r="I152" i="4" s="1"/>
  <c r="AA151" i="4"/>
  <c r="U151" i="4"/>
  <c r="O151" i="4"/>
  <c r="M151" i="4"/>
  <c r="L151" i="4"/>
  <c r="I151" i="4"/>
  <c r="G151" i="4"/>
  <c r="AA150" i="4"/>
  <c r="U150" i="4"/>
  <c r="O150" i="4"/>
  <c r="M150" i="4"/>
  <c r="L150" i="4"/>
  <c r="N150" i="4" s="1"/>
  <c r="P150" i="4" s="1"/>
  <c r="G150" i="4"/>
  <c r="I150" i="4" s="1"/>
  <c r="AA149" i="4"/>
  <c r="U149" i="4"/>
  <c r="O149" i="4"/>
  <c r="M149" i="4"/>
  <c r="L149" i="4"/>
  <c r="G149" i="4"/>
  <c r="I149" i="4" s="1"/>
  <c r="AA148" i="4"/>
  <c r="U148" i="4"/>
  <c r="O148" i="4"/>
  <c r="M148" i="4"/>
  <c r="L148" i="4"/>
  <c r="N148" i="4" s="1"/>
  <c r="P148" i="4" s="1"/>
  <c r="I148" i="4"/>
  <c r="G148" i="4"/>
  <c r="AA147" i="4"/>
  <c r="U147" i="4"/>
  <c r="O147" i="4"/>
  <c r="M147" i="4"/>
  <c r="L147" i="4"/>
  <c r="N147" i="4" s="1"/>
  <c r="P147" i="4" s="1"/>
  <c r="G147" i="4"/>
  <c r="I147" i="4" s="1"/>
  <c r="AA146" i="4"/>
  <c r="U146" i="4"/>
  <c r="O146" i="4"/>
  <c r="M146" i="4"/>
  <c r="L146" i="4"/>
  <c r="I146" i="4"/>
  <c r="G146" i="4"/>
  <c r="AA145" i="4"/>
  <c r="U145" i="4"/>
  <c r="O145" i="4"/>
  <c r="M145" i="4"/>
  <c r="L145" i="4"/>
  <c r="N145" i="4" s="1"/>
  <c r="P145" i="4" s="1"/>
  <c r="G145" i="4"/>
  <c r="I145" i="4" s="1"/>
  <c r="AC144" i="4"/>
  <c r="AA144" i="4"/>
  <c r="U144" i="4"/>
  <c r="V144" i="4" s="1"/>
  <c r="W144" i="4" s="1"/>
  <c r="O144" i="4"/>
  <c r="M144" i="4"/>
  <c r="AB144" i="4" s="1"/>
  <c r="L144" i="4"/>
  <c r="I144" i="4"/>
  <c r="G144" i="4"/>
  <c r="AA143" i="4"/>
  <c r="U143" i="4"/>
  <c r="O143" i="4"/>
  <c r="M143" i="4"/>
  <c r="AB143" i="4" s="1"/>
  <c r="AC143" i="4" s="1"/>
  <c r="L143" i="4"/>
  <c r="N143" i="4" s="1"/>
  <c r="P143" i="4" s="1"/>
  <c r="I143" i="4"/>
  <c r="G143" i="4"/>
  <c r="AC142" i="4"/>
  <c r="AA142" i="4"/>
  <c r="U142" i="4"/>
  <c r="V142" i="4" s="1"/>
  <c r="W142" i="4" s="1"/>
  <c r="O142" i="4"/>
  <c r="M142" i="4"/>
  <c r="AB142" i="4" s="1"/>
  <c r="L142" i="4"/>
  <c r="G142" i="4"/>
  <c r="I142" i="4" s="1"/>
  <c r="AA141" i="4"/>
  <c r="U141" i="4"/>
  <c r="O141" i="4"/>
  <c r="M141" i="4"/>
  <c r="AB141" i="4" s="1"/>
  <c r="AC141" i="4" s="1"/>
  <c r="L141" i="4"/>
  <c r="I141" i="4"/>
  <c r="G141" i="4"/>
  <c r="AA140" i="4"/>
  <c r="U140" i="4"/>
  <c r="O140" i="4"/>
  <c r="M140" i="4"/>
  <c r="L140" i="4"/>
  <c r="N140" i="4" s="1"/>
  <c r="P140" i="4" s="1"/>
  <c r="G140" i="4"/>
  <c r="I140" i="4" s="1"/>
  <c r="AA139" i="4"/>
  <c r="U139" i="4"/>
  <c r="V139" i="4" s="1"/>
  <c r="W139" i="4" s="1"/>
  <c r="O139" i="4"/>
  <c r="M139" i="4"/>
  <c r="L139" i="4"/>
  <c r="I139" i="4"/>
  <c r="G139" i="4"/>
  <c r="AC138" i="4"/>
  <c r="AA138" i="4"/>
  <c r="AB138" i="4" s="1"/>
  <c r="U138" i="4"/>
  <c r="V138" i="4" s="1"/>
  <c r="W138" i="4" s="1"/>
  <c r="O138" i="4"/>
  <c r="M138" i="4"/>
  <c r="L138" i="4"/>
  <c r="N138" i="4" s="1"/>
  <c r="P138" i="4" s="1"/>
  <c r="G138" i="4"/>
  <c r="I138" i="4" s="1"/>
  <c r="Q138" i="4" s="1"/>
  <c r="AC137" i="4"/>
  <c r="AA137" i="4"/>
  <c r="AB137" i="4" s="1"/>
  <c r="U137" i="4"/>
  <c r="V137" i="4" s="1"/>
  <c r="W137" i="4" s="1"/>
  <c r="O137" i="4"/>
  <c r="M137" i="4"/>
  <c r="L137" i="4"/>
  <c r="I137" i="4"/>
  <c r="G137" i="4"/>
  <c r="AA136" i="4"/>
  <c r="AB136" i="4" s="1"/>
  <c r="AC136" i="4" s="1"/>
  <c r="U136" i="4"/>
  <c r="O136" i="4"/>
  <c r="M136" i="4"/>
  <c r="L136" i="4"/>
  <c r="N136" i="4" s="1"/>
  <c r="P136" i="4" s="1"/>
  <c r="G136" i="4"/>
  <c r="I136" i="4" s="1"/>
  <c r="AA135" i="4"/>
  <c r="AB135" i="4" s="1"/>
  <c r="AC135" i="4" s="1"/>
  <c r="U135" i="4"/>
  <c r="V135" i="4" s="1"/>
  <c r="W135" i="4" s="1"/>
  <c r="O135" i="4"/>
  <c r="M135" i="4"/>
  <c r="L135" i="4"/>
  <c r="G135" i="4"/>
  <c r="I135" i="4" s="1"/>
  <c r="AA134" i="4"/>
  <c r="U134" i="4"/>
  <c r="O134" i="4"/>
  <c r="M134" i="4"/>
  <c r="L134" i="4"/>
  <c r="N134" i="4" s="1"/>
  <c r="P134" i="4" s="1"/>
  <c r="G134" i="4"/>
  <c r="I134" i="4" s="1"/>
  <c r="AA133" i="4"/>
  <c r="U133" i="4"/>
  <c r="O133" i="4"/>
  <c r="M133" i="4"/>
  <c r="L133" i="4"/>
  <c r="N133" i="4" s="1"/>
  <c r="P133" i="4" s="1"/>
  <c r="G133" i="4"/>
  <c r="I133" i="4" s="1"/>
  <c r="AA132" i="4"/>
  <c r="U132" i="4"/>
  <c r="O132" i="4"/>
  <c r="M132" i="4"/>
  <c r="L132" i="4"/>
  <c r="N132" i="4" s="1"/>
  <c r="P132" i="4" s="1"/>
  <c r="I132" i="4"/>
  <c r="G132" i="4"/>
  <c r="AA131" i="4"/>
  <c r="AB131" i="4" s="1"/>
  <c r="AC131" i="4" s="1"/>
  <c r="U131" i="4"/>
  <c r="O131" i="4"/>
  <c r="M131" i="4"/>
  <c r="L131" i="4"/>
  <c r="I131" i="4"/>
  <c r="G131" i="4"/>
  <c r="AA130" i="4"/>
  <c r="AB130" i="4" s="1"/>
  <c r="AC130" i="4" s="1"/>
  <c r="U130" i="4"/>
  <c r="V130" i="4" s="1"/>
  <c r="W130" i="4" s="1"/>
  <c r="O130" i="4"/>
  <c r="M130" i="4"/>
  <c r="L130" i="4"/>
  <c r="G130" i="4"/>
  <c r="I130" i="4" s="1"/>
  <c r="AB129" i="4"/>
  <c r="AC129" i="4" s="1"/>
  <c r="AA129" i="4"/>
  <c r="U129" i="4"/>
  <c r="O129" i="4"/>
  <c r="M129" i="4"/>
  <c r="L129" i="4"/>
  <c r="G129" i="4"/>
  <c r="I129" i="4" s="1"/>
  <c r="AA128" i="4"/>
  <c r="U128" i="4"/>
  <c r="O128" i="4"/>
  <c r="M128" i="4"/>
  <c r="AB128" i="4" s="1"/>
  <c r="AC128" i="4" s="1"/>
  <c r="L128" i="4"/>
  <c r="G128" i="4"/>
  <c r="I128" i="4" s="1"/>
  <c r="AA127" i="4"/>
  <c r="AB127" i="4" s="1"/>
  <c r="AC127" i="4" s="1"/>
  <c r="U127" i="4"/>
  <c r="O127" i="4"/>
  <c r="M127" i="4"/>
  <c r="L127" i="4"/>
  <c r="N127" i="4" s="1"/>
  <c r="P127" i="4" s="1"/>
  <c r="I127" i="4"/>
  <c r="G127" i="4"/>
  <c r="AC126" i="4"/>
  <c r="AA126" i="4"/>
  <c r="AB126" i="4" s="1"/>
  <c r="U126" i="4"/>
  <c r="V126" i="4" s="1"/>
  <c r="W126" i="4" s="1"/>
  <c r="O126" i="4"/>
  <c r="M126" i="4"/>
  <c r="L126" i="4"/>
  <c r="I126" i="4"/>
  <c r="G126" i="4"/>
  <c r="AA125" i="4"/>
  <c r="U125" i="4"/>
  <c r="O125" i="4"/>
  <c r="M125" i="4"/>
  <c r="L125" i="4"/>
  <c r="I125" i="4"/>
  <c r="G125" i="4"/>
  <c r="AA124" i="4"/>
  <c r="U124" i="4"/>
  <c r="O124" i="4"/>
  <c r="N124" i="4"/>
  <c r="P124" i="4" s="1"/>
  <c r="M124" i="4"/>
  <c r="AB124" i="4" s="1"/>
  <c r="AC124" i="4" s="1"/>
  <c r="L124" i="4"/>
  <c r="I124" i="4"/>
  <c r="G124" i="4"/>
  <c r="AA123" i="4"/>
  <c r="U123" i="4"/>
  <c r="V123" i="4" s="1"/>
  <c r="W123" i="4" s="1"/>
  <c r="O123" i="4"/>
  <c r="M123" i="4"/>
  <c r="AB123" i="4" s="1"/>
  <c r="AC123" i="4" s="1"/>
  <c r="L123" i="4"/>
  <c r="I123" i="4"/>
  <c r="G123" i="4"/>
  <c r="AA122" i="4"/>
  <c r="U122" i="4"/>
  <c r="V122" i="4" s="1"/>
  <c r="W122" i="4" s="1"/>
  <c r="O122" i="4"/>
  <c r="Q122" i="4" s="1"/>
  <c r="N122" i="4"/>
  <c r="P122" i="4" s="1"/>
  <c r="M122" i="4"/>
  <c r="AB122" i="4" s="1"/>
  <c r="AC122" i="4" s="1"/>
  <c r="L122" i="4"/>
  <c r="I122" i="4"/>
  <c r="G122" i="4"/>
  <c r="AA121" i="4"/>
  <c r="U121" i="4"/>
  <c r="V121" i="4" s="1"/>
  <c r="W121" i="4" s="1"/>
  <c r="O121" i="4"/>
  <c r="M121" i="4"/>
  <c r="AB121" i="4" s="1"/>
  <c r="AC121" i="4" s="1"/>
  <c r="L121" i="4"/>
  <c r="I121" i="4"/>
  <c r="G121" i="4"/>
  <c r="AA120" i="4"/>
  <c r="U120" i="4"/>
  <c r="O120" i="4"/>
  <c r="N120" i="4"/>
  <c r="P120" i="4" s="1"/>
  <c r="M120" i="4"/>
  <c r="AB120" i="4" s="1"/>
  <c r="AC120" i="4" s="1"/>
  <c r="L120" i="4"/>
  <c r="I120" i="4"/>
  <c r="G120" i="4"/>
  <c r="AA119" i="4"/>
  <c r="U119" i="4"/>
  <c r="O119" i="4"/>
  <c r="M119" i="4"/>
  <c r="L119" i="4"/>
  <c r="I119" i="4"/>
  <c r="G119" i="4"/>
  <c r="AA118" i="4"/>
  <c r="U118" i="4"/>
  <c r="V118" i="4" s="1"/>
  <c r="W118" i="4" s="1"/>
  <c r="O118" i="4"/>
  <c r="M118" i="4"/>
  <c r="AB118" i="4" s="1"/>
  <c r="AC118" i="4" s="1"/>
  <c r="L118" i="4"/>
  <c r="I118" i="4"/>
  <c r="G118" i="4"/>
  <c r="AA117" i="4"/>
  <c r="W117" i="4"/>
  <c r="U117" i="4"/>
  <c r="V117" i="4" s="1"/>
  <c r="Q117" i="4"/>
  <c r="O117" i="4"/>
  <c r="N117" i="4"/>
  <c r="P117" i="4" s="1"/>
  <c r="M117" i="4"/>
  <c r="AB117" i="4" s="1"/>
  <c r="AC117" i="4" s="1"/>
  <c r="L117" i="4"/>
  <c r="I117" i="4"/>
  <c r="G117" i="4"/>
  <c r="AA116" i="4"/>
  <c r="U116" i="4"/>
  <c r="V116" i="4" s="1"/>
  <c r="W116" i="4" s="1"/>
  <c r="Q116" i="4"/>
  <c r="P116" i="4"/>
  <c r="O116" i="4"/>
  <c r="N116" i="4"/>
  <c r="M116" i="4"/>
  <c r="AB116" i="4" s="1"/>
  <c r="AC116" i="4" s="1"/>
  <c r="L116" i="4"/>
  <c r="I116" i="4"/>
  <c r="G116" i="4"/>
  <c r="AA115" i="4"/>
  <c r="U115" i="4"/>
  <c r="O115" i="4"/>
  <c r="M115" i="4"/>
  <c r="AB115" i="4" s="1"/>
  <c r="AC115" i="4" s="1"/>
  <c r="L115" i="4"/>
  <c r="G115" i="4"/>
  <c r="I115" i="4" s="1"/>
  <c r="AA114" i="4"/>
  <c r="U114" i="4"/>
  <c r="V114" i="4" s="1"/>
  <c r="W114" i="4" s="1"/>
  <c r="O114" i="4"/>
  <c r="M114" i="4"/>
  <c r="AB114" i="4" s="1"/>
  <c r="AC114" i="4" s="1"/>
  <c r="L114" i="4"/>
  <c r="G114" i="4"/>
  <c r="I114" i="4" s="1"/>
  <c r="AA113" i="4"/>
  <c r="W113" i="4"/>
  <c r="U113" i="4"/>
  <c r="V113" i="4" s="1"/>
  <c r="O113" i="4"/>
  <c r="N113" i="4"/>
  <c r="P113" i="4" s="1"/>
  <c r="Q113" i="4" s="1"/>
  <c r="M113" i="4"/>
  <c r="AB113" i="4" s="1"/>
  <c r="AC113" i="4" s="1"/>
  <c r="L113" i="4"/>
  <c r="G113" i="4"/>
  <c r="I113" i="4" s="1"/>
  <c r="AA112" i="4"/>
  <c r="U112" i="4"/>
  <c r="O112" i="4"/>
  <c r="M112" i="4"/>
  <c r="L112" i="4"/>
  <c r="G112" i="4"/>
  <c r="I112" i="4" s="1"/>
  <c r="AA111" i="4"/>
  <c r="U111" i="4"/>
  <c r="O111" i="4"/>
  <c r="M111" i="4"/>
  <c r="L111" i="4"/>
  <c r="G111" i="4"/>
  <c r="I111" i="4" s="1"/>
  <c r="AA110" i="4"/>
  <c r="W110" i="4"/>
  <c r="U110" i="4"/>
  <c r="V110" i="4" s="1"/>
  <c r="P110" i="4"/>
  <c r="O110" i="4"/>
  <c r="N110" i="4"/>
  <c r="M110" i="4"/>
  <c r="AB110" i="4" s="1"/>
  <c r="AC110" i="4" s="1"/>
  <c r="L110" i="4"/>
  <c r="G110" i="4"/>
  <c r="I110" i="4" s="1"/>
  <c r="Q110" i="4" s="1"/>
  <c r="AA109" i="4"/>
  <c r="U109" i="4"/>
  <c r="V109" i="4" s="1"/>
  <c r="W109" i="4" s="1"/>
  <c r="O109" i="4"/>
  <c r="M109" i="4"/>
  <c r="AB109" i="4" s="1"/>
  <c r="AC109" i="4" s="1"/>
  <c r="L109" i="4"/>
  <c r="G109" i="4"/>
  <c r="I109" i="4" s="1"/>
  <c r="AA108" i="4"/>
  <c r="U108" i="4"/>
  <c r="O108" i="4"/>
  <c r="M108" i="4"/>
  <c r="AB108" i="4" s="1"/>
  <c r="AC108" i="4" s="1"/>
  <c r="L108" i="4"/>
  <c r="G108" i="4"/>
  <c r="I108" i="4" s="1"/>
  <c r="AA107" i="4"/>
  <c r="U107" i="4"/>
  <c r="O107" i="4"/>
  <c r="M107" i="4"/>
  <c r="AB107" i="4" s="1"/>
  <c r="AC107" i="4" s="1"/>
  <c r="L107" i="4"/>
  <c r="G107" i="4"/>
  <c r="I107" i="4" s="1"/>
  <c r="AA106" i="4"/>
  <c r="W106" i="4"/>
  <c r="U106" i="4"/>
  <c r="V106" i="4" s="1"/>
  <c r="O106" i="4"/>
  <c r="M106" i="4"/>
  <c r="AB106" i="4" s="1"/>
  <c r="AC106" i="4" s="1"/>
  <c r="L106" i="4"/>
  <c r="G106" i="4"/>
  <c r="I106" i="4" s="1"/>
  <c r="AA105" i="4"/>
  <c r="U105" i="4"/>
  <c r="O105" i="4"/>
  <c r="M105" i="4"/>
  <c r="L105" i="4"/>
  <c r="G105" i="4"/>
  <c r="I105" i="4" s="1"/>
  <c r="AA104" i="4"/>
  <c r="U104" i="4"/>
  <c r="O104" i="4"/>
  <c r="M104" i="4"/>
  <c r="L104" i="4"/>
  <c r="G104" i="4"/>
  <c r="I104" i="4" s="1"/>
  <c r="AA103" i="4"/>
  <c r="W103" i="4"/>
  <c r="U103" i="4"/>
  <c r="V103" i="4" s="1"/>
  <c r="P103" i="4"/>
  <c r="O103" i="4"/>
  <c r="N103" i="4"/>
  <c r="M103" i="4"/>
  <c r="AB103" i="4" s="1"/>
  <c r="AC103" i="4" s="1"/>
  <c r="L103" i="4"/>
  <c r="G103" i="4"/>
  <c r="I103" i="4" s="1"/>
  <c r="AA102" i="4"/>
  <c r="U102" i="4"/>
  <c r="V102" i="4" s="1"/>
  <c r="W102" i="4" s="1"/>
  <c r="O102" i="4"/>
  <c r="M102" i="4"/>
  <c r="AB102" i="4" s="1"/>
  <c r="AC102" i="4" s="1"/>
  <c r="L102" i="4"/>
  <c r="G102" i="4"/>
  <c r="I102" i="4" s="1"/>
  <c r="AA101" i="4"/>
  <c r="U101" i="4"/>
  <c r="O101" i="4"/>
  <c r="M101" i="4"/>
  <c r="AB101" i="4" s="1"/>
  <c r="AC101" i="4" s="1"/>
  <c r="L101" i="4"/>
  <c r="G101" i="4"/>
  <c r="I101" i="4" s="1"/>
  <c r="AA100" i="4"/>
  <c r="U100" i="4"/>
  <c r="O100" i="4"/>
  <c r="M100" i="4"/>
  <c r="AB100" i="4" s="1"/>
  <c r="AC100" i="4" s="1"/>
  <c r="L100" i="4"/>
  <c r="G100" i="4"/>
  <c r="I100" i="4" s="1"/>
  <c r="AA99" i="4"/>
  <c r="W99" i="4"/>
  <c r="U99" i="4"/>
  <c r="V99" i="4" s="1"/>
  <c r="O99" i="4"/>
  <c r="M99" i="4"/>
  <c r="AB99" i="4" s="1"/>
  <c r="AC99" i="4" s="1"/>
  <c r="L99" i="4"/>
  <c r="G99" i="4"/>
  <c r="I99" i="4" s="1"/>
  <c r="AA98" i="4"/>
  <c r="U98" i="4"/>
  <c r="O98" i="4"/>
  <c r="M98" i="4"/>
  <c r="L98" i="4"/>
  <c r="G98" i="4"/>
  <c r="I98" i="4" s="1"/>
  <c r="AA97" i="4"/>
  <c r="U97" i="4"/>
  <c r="O97" i="4"/>
  <c r="M97" i="4"/>
  <c r="L97" i="4"/>
  <c r="G97" i="4"/>
  <c r="I97" i="4" s="1"/>
  <c r="AA96" i="4"/>
  <c r="W96" i="4"/>
  <c r="U96" i="4"/>
  <c r="V96" i="4" s="1"/>
  <c r="O96" i="4"/>
  <c r="N96" i="4"/>
  <c r="P96" i="4" s="1"/>
  <c r="M96" i="4"/>
  <c r="AB96" i="4" s="1"/>
  <c r="AC96" i="4" s="1"/>
  <c r="L96" i="4"/>
  <c r="G96" i="4"/>
  <c r="I96" i="4" s="1"/>
  <c r="AA95" i="4"/>
  <c r="W95" i="4"/>
  <c r="U95" i="4"/>
  <c r="V95" i="4" s="1"/>
  <c r="O95" i="4"/>
  <c r="M95" i="4"/>
  <c r="AB95" i="4" s="1"/>
  <c r="AC95" i="4" s="1"/>
  <c r="L95" i="4"/>
  <c r="G95" i="4"/>
  <c r="I95" i="4" s="1"/>
  <c r="AA94" i="4"/>
  <c r="U94" i="4"/>
  <c r="O94" i="4"/>
  <c r="M94" i="4"/>
  <c r="AB94" i="4" s="1"/>
  <c r="AC94" i="4" s="1"/>
  <c r="L94" i="4"/>
  <c r="G94" i="4"/>
  <c r="I94" i="4" s="1"/>
  <c r="AA93" i="4"/>
  <c r="U93" i="4"/>
  <c r="O93" i="4"/>
  <c r="M93" i="4"/>
  <c r="AB93" i="4" s="1"/>
  <c r="AC93" i="4" s="1"/>
  <c r="L93" i="4"/>
  <c r="G93" i="4"/>
  <c r="I93" i="4" s="1"/>
  <c r="AA92" i="4"/>
  <c r="W92" i="4"/>
  <c r="U92" i="4"/>
  <c r="V92" i="4" s="1"/>
  <c r="O92" i="4"/>
  <c r="M92" i="4"/>
  <c r="AB92" i="4" s="1"/>
  <c r="AC92" i="4" s="1"/>
  <c r="L92" i="4"/>
  <c r="G92" i="4"/>
  <c r="I92" i="4" s="1"/>
  <c r="AA91" i="4"/>
  <c r="U91" i="4"/>
  <c r="P91" i="4"/>
  <c r="O91" i="4"/>
  <c r="M91" i="4"/>
  <c r="N91" i="4" s="1"/>
  <c r="L91" i="4"/>
  <c r="G91" i="4"/>
  <c r="I91" i="4" s="1"/>
  <c r="AA90" i="4"/>
  <c r="U90" i="4"/>
  <c r="O90" i="4"/>
  <c r="M90" i="4"/>
  <c r="N90" i="4" s="1"/>
  <c r="P90" i="4" s="1"/>
  <c r="L90" i="4"/>
  <c r="G90" i="4"/>
  <c r="I90" i="4" s="1"/>
  <c r="AA89" i="4"/>
  <c r="AB89" i="4" s="1"/>
  <c r="AC89" i="4" s="1"/>
  <c r="W89" i="4"/>
  <c r="U89" i="4"/>
  <c r="V89" i="4" s="1"/>
  <c r="O89" i="4"/>
  <c r="N89" i="4"/>
  <c r="P89" i="4" s="1"/>
  <c r="M89" i="4"/>
  <c r="L89" i="4"/>
  <c r="G89" i="4"/>
  <c r="I89" i="4" s="1"/>
  <c r="Q89" i="4" s="1"/>
  <c r="AA88" i="4"/>
  <c r="U88" i="4"/>
  <c r="V88" i="4" s="1"/>
  <c r="W88" i="4" s="1"/>
  <c r="O88" i="4"/>
  <c r="M88" i="4"/>
  <c r="N88" i="4" s="1"/>
  <c r="P88" i="4" s="1"/>
  <c r="L88" i="4"/>
  <c r="G88" i="4"/>
  <c r="I88" i="4" s="1"/>
  <c r="AA87" i="4"/>
  <c r="U87" i="4"/>
  <c r="O87" i="4"/>
  <c r="M87" i="4"/>
  <c r="N87" i="4" s="1"/>
  <c r="P87" i="4" s="1"/>
  <c r="L87" i="4"/>
  <c r="G87" i="4"/>
  <c r="I87" i="4" s="1"/>
  <c r="AA86" i="4"/>
  <c r="U86" i="4"/>
  <c r="O86" i="4"/>
  <c r="M86" i="4"/>
  <c r="N86" i="4" s="1"/>
  <c r="P86" i="4" s="1"/>
  <c r="L86" i="4"/>
  <c r="G86" i="4"/>
  <c r="I86" i="4" s="1"/>
  <c r="AA85" i="4"/>
  <c r="AB85" i="4" s="1"/>
  <c r="AC85" i="4" s="1"/>
  <c r="W85" i="4"/>
  <c r="U85" i="4"/>
  <c r="V85" i="4" s="1"/>
  <c r="O85" i="4"/>
  <c r="M85" i="4"/>
  <c r="N85" i="4" s="1"/>
  <c r="P85" i="4" s="1"/>
  <c r="Q85" i="4" s="1"/>
  <c r="L85" i="4"/>
  <c r="G85" i="4"/>
  <c r="I85" i="4" s="1"/>
  <c r="AA84" i="4"/>
  <c r="U84" i="4"/>
  <c r="P84" i="4"/>
  <c r="O84" i="4"/>
  <c r="M84" i="4"/>
  <c r="N84" i="4" s="1"/>
  <c r="L84" i="4"/>
  <c r="G84" i="4"/>
  <c r="I84" i="4" s="1"/>
  <c r="AA83" i="4"/>
  <c r="U83" i="4"/>
  <c r="O83" i="4"/>
  <c r="M83" i="4"/>
  <c r="N83" i="4" s="1"/>
  <c r="P83" i="4" s="1"/>
  <c r="L83" i="4"/>
  <c r="G83" i="4"/>
  <c r="I83" i="4" s="1"/>
  <c r="AA82" i="4"/>
  <c r="AB82" i="4" s="1"/>
  <c r="AC82" i="4" s="1"/>
  <c r="W82" i="4"/>
  <c r="U82" i="4"/>
  <c r="V82" i="4" s="1"/>
  <c r="O82" i="4"/>
  <c r="N82" i="4"/>
  <c r="P82" i="4" s="1"/>
  <c r="M82" i="4"/>
  <c r="L82" i="4"/>
  <c r="G82" i="4"/>
  <c r="I82" i="4" s="1"/>
  <c r="AA81" i="4"/>
  <c r="W81" i="4"/>
  <c r="U81" i="4"/>
  <c r="V81" i="4" s="1"/>
  <c r="O81" i="4"/>
  <c r="M81" i="4"/>
  <c r="N81" i="4" s="1"/>
  <c r="P81" i="4" s="1"/>
  <c r="L81" i="4"/>
  <c r="G81" i="4"/>
  <c r="I81" i="4" s="1"/>
  <c r="AA80" i="4"/>
  <c r="U80" i="4"/>
  <c r="O80" i="4"/>
  <c r="M80" i="4"/>
  <c r="N80" i="4" s="1"/>
  <c r="P80" i="4" s="1"/>
  <c r="L80" i="4"/>
  <c r="G80" i="4"/>
  <c r="I80" i="4" s="1"/>
  <c r="AA79" i="4"/>
  <c r="U79" i="4"/>
  <c r="O79" i="4"/>
  <c r="M79" i="4"/>
  <c r="N79" i="4" s="1"/>
  <c r="P79" i="4" s="1"/>
  <c r="L79" i="4"/>
  <c r="G79" i="4"/>
  <c r="I79" i="4" s="1"/>
  <c r="AA78" i="4"/>
  <c r="AB78" i="4" s="1"/>
  <c r="AC78" i="4" s="1"/>
  <c r="U78" i="4"/>
  <c r="V78" i="4" s="1"/>
  <c r="W78" i="4" s="1"/>
  <c r="P78" i="4"/>
  <c r="O78" i="4"/>
  <c r="N78" i="4"/>
  <c r="M78" i="4"/>
  <c r="L78" i="4"/>
  <c r="G78" i="4"/>
  <c r="I78" i="4" s="1"/>
  <c r="AA77" i="4"/>
  <c r="AB77" i="4" s="1"/>
  <c r="AC77" i="4" s="1"/>
  <c r="U77" i="4"/>
  <c r="V77" i="4" s="1"/>
  <c r="W77" i="4" s="1"/>
  <c r="O77" i="4"/>
  <c r="M77" i="4"/>
  <c r="N77" i="4" s="1"/>
  <c r="P77" i="4" s="1"/>
  <c r="L77" i="4"/>
  <c r="I77" i="4"/>
  <c r="G77" i="4"/>
  <c r="AA76" i="4"/>
  <c r="AB76" i="4" s="1"/>
  <c r="AC76" i="4" s="1"/>
  <c r="U76" i="4"/>
  <c r="V76" i="4" s="1"/>
  <c r="W76" i="4" s="1"/>
  <c r="O76" i="4"/>
  <c r="N76" i="4"/>
  <c r="P76" i="4" s="1"/>
  <c r="M76" i="4"/>
  <c r="L76" i="4"/>
  <c r="G76" i="4"/>
  <c r="I76" i="4" s="1"/>
  <c r="AA75" i="4"/>
  <c r="AB75" i="4" s="1"/>
  <c r="AC75" i="4" s="1"/>
  <c r="U75" i="4"/>
  <c r="O75" i="4"/>
  <c r="N75" i="4"/>
  <c r="P75" i="4" s="1"/>
  <c r="M75" i="4"/>
  <c r="L75" i="4"/>
  <c r="I75" i="4"/>
  <c r="G75" i="4"/>
  <c r="AA74" i="4"/>
  <c r="AB74" i="4" s="1"/>
  <c r="AC74" i="4" s="1"/>
  <c r="U74" i="4"/>
  <c r="V74" i="4" s="1"/>
  <c r="W74" i="4" s="1"/>
  <c r="O74" i="4"/>
  <c r="N74" i="4"/>
  <c r="P74" i="4" s="1"/>
  <c r="M74" i="4"/>
  <c r="L74" i="4"/>
  <c r="I74" i="4"/>
  <c r="Q74" i="4" s="1"/>
  <c r="G74" i="4"/>
  <c r="AA73" i="4"/>
  <c r="AB73" i="4" s="1"/>
  <c r="AC73" i="4" s="1"/>
  <c r="W73" i="4"/>
  <c r="U73" i="4"/>
  <c r="V73" i="4" s="1"/>
  <c r="O73" i="4"/>
  <c r="N73" i="4"/>
  <c r="P73" i="4" s="1"/>
  <c r="M73" i="4"/>
  <c r="L73" i="4"/>
  <c r="I73" i="4"/>
  <c r="G73" i="4"/>
  <c r="AA72" i="4"/>
  <c r="AB72" i="4" s="1"/>
  <c r="AC72" i="4" s="1"/>
  <c r="U72" i="4"/>
  <c r="V72" i="4" s="1"/>
  <c r="W72" i="4" s="1"/>
  <c r="O72" i="4"/>
  <c r="M72" i="4"/>
  <c r="N72" i="4" s="1"/>
  <c r="P72" i="4" s="1"/>
  <c r="L72" i="4"/>
  <c r="I72" i="4"/>
  <c r="G72" i="4"/>
  <c r="AA71" i="4"/>
  <c r="U71" i="4"/>
  <c r="O71" i="4"/>
  <c r="M71" i="4"/>
  <c r="N71" i="4" s="1"/>
  <c r="P71" i="4" s="1"/>
  <c r="L71" i="4"/>
  <c r="G71" i="4"/>
  <c r="I71" i="4" s="1"/>
  <c r="AA70" i="4"/>
  <c r="U70" i="4"/>
  <c r="O70" i="4"/>
  <c r="M70" i="4"/>
  <c r="N70" i="4" s="1"/>
  <c r="P70" i="4" s="1"/>
  <c r="L70" i="4"/>
  <c r="I70" i="4"/>
  <c r="G70" i="4"/>
  <c r="AA69" i="4"/>
  <c r="AB69" i="4" s="1"/>
  <c r="AC69" i="4" s="1"/>
  <c r="U69" i="4"/>
  <c r="O69" i="4"/>
  <c r="N69" i="4"/>
  <c r="P69" i="4" s="1"/>
  <c r="M69" i="4"/>
  <c r="L69" i="4"/>
  <c r="I69" i="4"/>
  <c r="G69" i="4"/>
  <c r="AA68" i="4"/>
  <c r="U68" i="4"/>
  <c r="O68" i="4"/>
  <c r="M68" i="4"/>
  <c r="N68" i="4" s="1"/>
  <c r="P68" i="4" s="1"/>
  <c r="L68" i="4"/>
  <c r="G68" i="4"/>
  <c r="I68" i="4" s="1"/>
  <c r="AC67" i="4"/>
  <c r="AA67" i="4"/>
  <c r="AB67" i="4" s="1"/>
  <c r="U67" i="4"/>
  <c r="V67" i="4" s="1"/>
  <c r="W67" i="4" s="1"/>
  <c r="O67" i="4"/>
  <c r="N67" i="4"/>
  <c r="P67" i="4" s="1"/>
  <c r="M67" i="4"/>
  <c r="L67" i="4"/>
  <c r="G67" i="4"/>
  <c r="I67" i="4" s="1"/>
  <c r="Q67" i="4" s="1"/>
  <c r="AB66" i="4"/>
  <c r="AC66" i="4" s="1"/>
  <c r="AA66" i="4"/>
  <c r="W66" i="4"/>
  <c r="U66" i="4"/>
  <c r="V66" i="4" s="1"/>
  <c r="O66" i="4"/>
  <c r="N66" i="4"/>
  <c r="P66" i="4" s="1"/>
  <c r="M66" i="4"/>
  <c r="L66" i="4"/>
  <c r="I66" i="4"/>
  <c r="Q66" i="4" s="1"/>
  <c r="G66" i="4"/>
  <c r="AB65" i="4"/>
  <c r="AC65" i="4" s="1"/>
  <c r="AA65" i="4"/>
  <c r="W65" i="4"/>
  <c r="U65" i="4"/>
  <c r="V65" i="4" s="1"/>
  <c r="O65" i="4"/>
  <c r="N65" i="4"/>
  <c r="P65" i="4" s="1"/>
  <c r="M65" i="4"/>
  <c r="L65" i="4"/>
  <c r="I65" i="4"/>
  <c r="G65" i="4"/>
  <c r="AC64" i="4"/>
  <c r="AB64" i="4"/>
  <c r="AA64" i="4"/>
  <c r="U64" i="4"/>
  <c r="V64" i="4" s="1"/>
  <c r="W64" i="4" s="1"/>
  <c r="Q64" i="4" s="1"/>
  <c r="O64" i="4"/>
  <c r="N64" i="4"/>
  <c r="P64" i="4" s="1"/>
  <c r="M64" i="4"/>
  <c r="L64" i="4"/>
  <c r="I64" i="4"/>
  <c r="G64" i="4"/>
  <c r="AC63" i="4"/>
  <c r="AB63" i="4"/>
  <c r="AA63" i="4"/>
  <c r="U63" i="4"/>
  <c r="V63" i="4" s="1"/>
  <c r="W63" i="4" s="1"/>
  <c r="O63" i="4"/>
  <c r="N63" i="4"/>
  <c r="P63" i="4" s="1"/>
  <c r="Q63" i="4" s="1"/>
  <c r="M63" i="4"/>
  <c r="L63" i="4"/>
  <c r="I63" i="4"/>
  <c r="G63" i="4"/>
  <c r="AA62" i="4"/>
  <c r="U62" i="4"/>
  <c r="O62" i="4"/>
  <c r="M62" i="4"/>
  <c r="AB62" i="4" s="1"/>
  <c r="AC62" i="4" s="1"/>
  <c r="L62" i="4"/>
  <c r="G62" i="4"/>
  <c r="I62" i="4" s="1"/>
  <c r="AA61" i="4"/>
  <c r="U61" i="4"/>
  <c r="O61" i="4"/>
  <c r="M61" i="4"/>
  <c r="AB61" i="4" s="1"/>
  <c r="AC61" i="4" s="1"/>
  <c r="L61" i="4"/>
  <c r="G61" i="4"/>
  <c r="I61" i="4" s="1"/>
  <c r="AB60" i="4"/>
  <c r="AC60" i="4" s="1"/>
  <c r="AA60" i="4"/>
  <c r="U60" i="4"/>
  <c r="V60" i="4" s="1"/>
  <c r="W60" i="4" s="1"/>
  <c r="O60" i="4"/>
  <c r="M60" i="4"/>
  <c r="N60" i="4" s="1"/>
  <c r="P60" i="4" s="1"/>
  <c r="L60" i="4"/>
  <c r="G60" i="4"/>
  <c r="I60" i="4" s="1"/>
  <c r="AB59" i="4"/>
  <c r="AC59" i="4" s="1"/>
  <c r="AA59" i="4"/>
  <c r="W59" i="4"/>
  <c r="U59" i="4"/>
  <c r="V59" i="4" s="1"/>
  <c r="O59" i="4"/>
  <c r="N59" i="4"/>
  <c r="P59" i="4" s="1"/>
  <c r="M59" i="4"/>
  <c r="L59" i="4"/>
  <c r="I59" i="4"/>
  <c r="Q59" i="4" s="1"/>
  <c r="G59" i="4"/>
  <c r="AB58" i="4"/>
  <c r="AC58" i="4" s="1"/>
  <c r="AA58" i="4"/>
  <c r="W58" i="4"/>
  <c r="U58" i="4"/>
  <c r="V58" i="4" s="1"/>
  <c r="O58" i="4"/>
  <c r="M58" i="4"/>
  <c r="N58" i="4" s="1"/>
  <c r="P58" i="4" s="1"/>
  <c r="Q58" i="4" s="1"/>
  <c r="L58" i="4"/>
  <c r="I58" i="4"/>
  <c r="G58" i="4"/>
  <c r="AC57" i="4"/>
  <c r="AB57" i="4"/>
  <c r="AA57" i="4"/>
  <c r="U57" i="4"/>
  <c r="V57" i="4" s="1"/>
  <c r="W57" i="4" s="1"/>
  <c r="Q57" i="4" s="1"/>
  <c r="O57" i="4"/>
  <c r="N57" i="4"/>
  <c r="P57" i="4" s="1"/>
  <c r="M57" i="4"/>
  <c r="L57" i="4"/>
  <c r="I57" i="4"/>
  <c r="G57" i="4"/>
  <c r="AA56" i="4"/>
  <c r="U56" i="4"/>
  <c r="V56" i="4" s="1"/>
  <c r="W56" i="4" s="1"/>
  <c r="O56" i="4"/>
  <c r="N56" i="4"/>
  <c r="P56" i="4" s="1"/>
  <c r="M56" i="4"/>
  <c r="AB56" i="4" s="1"/>
  <c r="AC56" i="4" s="1"/>
  <c r="L56" i="4"/>
  <c r="I56" i="4"/>
  <c r="G56" i="4"/>
  <c r="AA55" i="4"/>
  <c r="U55" i="4"/>
  <c r="O55" i="4"/>
  <c r="M55" i="4"/>
  <c r="AB55" i="4" s="1"/>
  <c r="AC55" i="4" s="1"/>
  <c r="L55" i="4"/>
  <c r="G55" i="4"/>
  <c r="I55" i="4" s="1"/>
  <c r="AA54" i="4"/>
  <c r="U54" i="4"/>
  <c r="O54" i="4"/>
  <c r="M54" i="4"/>
  <c r="AB54" i="4" s="1"/>
  <c r="AC54" i="4" s="1"/>
  <c r="L54" i="4"/>
  <c r="G54" i="4"/>
  <c r="I54" i="4" s="1"/>
  <c r="AB53" i="4"/>
  <c r="AC53" i="4" s="1"/>
  <c r="AA53" i="4"/>
  <c r="U53" i="4"/>
  <c r="V53" i="4" s="1"/>
  <c r="W53" i="4" s="1"/>
  <c r="O53" i="4"/>
  <c r="M53" i="4"/>
  <c r="N53" i="4" s="1"/>
  <c r="P53" i="4" s="1"/>
  <c r="L53" i="4"/>
  <c r="G53" i="4"/>
  <c r="I53" i="4" s="1"/>
  <c r="AB52" i="4"/>
  <c r="AC52" i="4" s="1"/>
  <c r="AA52" i="4"/>
  <c r="W52" i="4"/>
  <c r="U52" i="4"/>
  <c r="V52" i="4" s="1"/>
  <c r="O52" i="4"/>
  <c r="N52" i="4"/>
  <c r="P52" i="4" s="1"/>
  <c r="M52" i="4"/>
  <c r="L52" i="4"/>
  <c r="I52" i="4"/>
  <c r="Q52" i="4" s="1"/>
  <c r="G52" i="4"/>
  <c r="AB51" i="4"/>
  <c r="AC51" i="4" s="1"/>
  <c r="AA51" i="4"/>
  <c r="W51" i="4"/>
  <c r="U51" i="4"/>
  <c r="V51" i="4" s="1"/>
  <c r="O51" i="4"/>
  <c r="M51" i="4"/>
  <c r="N51" i="4" s="1"/>
  <c r="P51" i="4" s="1"/>
  <c r="Q51" i="4" s="1"/>
  <c r="L51" i="4"/>
  <c r="I51" i="4"/>
  <c r="G51" i="4"/>
  <c r="AA50" i="4"/>
  <c r="U50" i="4"/>
  <c r="V50" i="4" s="1"/>
  <c r="W50" i="4" s="1"/>
  <c r="Q50" i="4" s="1"/>
  <c r="O50" i="4"/>
  <c r="N50" i="4"/>
  <c r="P50" i="4" s="1"/>
  <c r="M50" i="4"/>
  <c r="AB50" i="4" s="1"/>
  <c r="AC50" i="4" s="1"/>
  <c r="L50" i="4"/>
  <c r="I50" i="4"/>
  <c r="G50" i="4"/>
  <c r="AA49" i="4"/>
  <c r="U49" i="4"/>
  <c r="V49" i="4" s="1"/>
  <c r="W49" i="4" s="1"/>
  <c r="O49" i="4"/>
  <c r="N49" i="4"/>
  <c r="P49" i="4" s="1"/>
  <c r="M49" i="4"/>
  <c r="AB49" i="4" s="1"/>
  <c r="AC49" i="4" s="1"/>
  <c r="L49" i="4"/>
  <c r="I49" i="4"/>
  <c r="G49" i="4"/>
  <c r="AA48" i="4"/>
  <c r="U48" i="4"/>
  <c r="O48" i="4"/>
  <c r="M48" i="4"/>
  <c r="AB48" i="4" s="1"/>
  <c r="AC48" i="4" s="1"/>
  <c r="L48" i="4"/>
  <c r="G48" i="4"/>
  <c r="I48" i="4" s="1"/>
  <c r="AA47" i="4"/>
  <c r="U47" i="4"/>
  <c r="O47" i="4"/>
  <c r="M47" i="4"/>
  <c r="AB47" i="4" s="1"/>
  <c r="AC47" i="4" s="1"/>
  <c r="L47" i="4"/>
  <c r="G47" i="4"/>
  <c r="I47" i="4" s="1"/>
  <c r="AB46" i="4"/>
  <c r="AC46" i="4" s="1"/>
  <c r="AA46" i="4"/>
  <c r="U46" i="4"/>
  <c r="V46" i="4" s="1"/>
  <c r="W46" i="4" s="1"/>
  <c r="O46" i="4"/>
  <c r="M46" i="4"/>
  <c r="L46" i="4"/>
  <c r="N46" i="4" s="1"/>
  <c r="P46" i="4" s="1"/>
  <c r="G46" i="4"/>
  <c r="I46" i="4" s="1"/>
  <c r="AB45" i="4"/>
  <c r="AC45" i="4" s="1"/>
  <c r="AA45" i="4"/>
  <c r="W45" i="4"/>
  <c r="U45" i="4"/>
  <c r="V45" i="4" s="1"/>
  <c r="O45" i="4"/>
  <c r="N45" i="4"/>
  <c r="P45" i="4" s="1"/>
  <c r="M45" i="4"/>
  <c r="L45" i="4"/>
  <c r="I45" i="4"/>
  <c r="Q45" i="4" s="1"/>
  <c r="G45" i="4"/>
  <c r="AB44" i="4"/>
  <c r="AC44" i="4" s="1"/>
  <c r="AA44" i="4"/>
  <c r="W44" i="4"/>
  <c r="U44" i="4"/>
  <c r="V44" i="4" s="1"/>
  <c r="O44" i="4"/>
  <c r="M44" i="4"/>
  <c r="L44" i="4"/>
  <c r="N44" i="4" s="1"/>
  <c r="P44" i="4" s="1"/>
  <c r="I44" i="4"/>
  <c r="G44" i="4"/>
  <c r="AA43" i="4"/>
  <c r="U43" i="4"/>
  <c r="V43" i="4" s="1"/>
  <c r="W43" i="4" s="1"/>
  <c r="Q43" i="4" s="1"/>
  <c r="O43" i="4"/>
  <c r="N43" i="4"/>
  <c r="P43" i="4" s="1"/>
  <c r="M43" i="4"/>
  <c r="AB43" i="4" s="1"/>
  <c r="AC43" i="4" s="1"/>
  <c r="L43" i="4"/>
  <c r="I43" i="4"/>
  <c r="G43" i="4"/>
  <c r="AA42" i="4"/>
  <c r="U42" i="4"/>
  <c r="V42" i="4" s="1"/>
  <c r="W42" i="4" s="1"/>
  <c r="O42" i="4"/>
  <c r="N42" i="4"/>
  <c r="P42" i="4" s="1"/>
  <c r="M42" i="4"/>
  <c r="AB42" i="4" s="1"/>
  <c r="AC42" i="4" s="1"/>
  <c r="L42" i="4"/>
  <c r="I42" i="4"/>
  <c r="G42" i="4"/>
  <c r="AA41" i="4"/>
  <c r="U41" i="4"/>
  <c r="O41" i="4"/>
  <c r="M41" i="4"/>
  <c r="AB41" i="4" s="1"/>
  <c r="AC41" i="4" s="1"/>
  <c r="L41" i="4"/>
  <c r="N41" i="4" s="1"/>
  <c r="P41" i="4" s="1"/>
  <c r="G41" i="4"/>
  <c r="I41" i="4" s="1"/>
  <c r="AA40" i="4"/>
  <c r="AB40" i="4" s="1"/>
  <c r="AC40" i="4" s="1"/>
  <c r="U40" i="4"/>
  <c r="O40" i="4"/>
  <c r="M40" i="4"/>
  <c r="L40" i="4"/>
  <c r="N40" i="4" s="1"/>
  <c r="P40" i="4" s="1"/>
  <c r="G40" i="4"/>
  <c r="I40" i="4" s="1"/>
  <c r="AB39" i="4"/>
  <c r="AC39" i="4" s="1"/>
  <c r="AA39" i="4"/>
  <c r="U39" i="4"/>
  <c r="V39" i="4" s="1"/>
  <c r="W39" i="4" s="1"/>
  <c r="O39" i="4"/>
  <c r="M39" i="4"/>
  <c r="L39" i="4"/>
  <c r="N39" i="4" s="1"/>
  <c r="P39" i="4" s="1"/>
  <c r="G39" i="4"/>
  <c r="I39" i="4" s="1"/>
  <c r="AB38" i="4"/>
  <c r="AC38" i="4" s="1"/>
  <c r="AA38" i="4"/>
  <c r="W38" i="4"/>
  <c r="U38" i="4"/>
  <c r="V38" i="4" s="1"/>
  <c r="O38" i="4"/>
  <c r="N38" i="4"/>
  <c r="P38" i="4" s="1"/>
  <c r="M38" i="4"/>
  <c r="L38" i="4"/>
  <c r="I38" i="4"/>
  <c r="Q38" i="4" s="1"/>
  <c r="G38" i="4"/>
  <c r="AA37" i="4"/>
  <c r="AB37" i="4" s="1"/>
  <c r="AC37" i="4" s="1"/>
  <c r="W37" i="4"/>
  <c r="U37" i="4"/>
  <c r="V37" i="4" s="1"/>
  <c r="O37" i="4"/>
  <c r="M37" i="4"/>
  <c r="L37" i="4"/>
  <c r="N37" i="4" s="1"/>
  <c r="P37" i="4" s="1"/>
  <c r="I37" i="4"/>
  <c r="G37" i="4"/>
  <c r="AA36" i="4"/>
  <c r="AB36" i="4" s="1"/>
  <c r="AC36" i="4" s="1"/>
  <c r="U36" i="4"/>
  <c r="V36" i="4" s="1"/>
  <c r="W36" i="4" s="1"/>
  <c r="Q36" i="4" s="1"/>
  <c r="O36" i="4"/>
  <c r="N36" i="4"/>
  <c r="P36" i="4" s="1"/>
  <c r="M36" i="4"/>
  <c r="L36" i="4"/>
  <c r="I36" i="4"/>
  <c r="G36" i="4"/>
  <c r="AA35" i="4"/>
  <c r="AB35" i="4" s="1"/>
  <c r="AC35" i="4" s="1"/>
  <c r="U35" i="4"/>
  <c r="V35" i="4" s="1"/>
  <c r="W35" i="4" s="1"/>
  <c r="O35" i="4"/>
  <c r="N35" i="4"/>
  <c r="P35" i="4" s="1"/>
  <c r="M35" i="4"/>
  <c r="L35" i="4"/>
  <c r="I35" i="4"/>
  <c r="G35" i="4"/>
  <c r="AA34" i="4"/>
  <c r="U34" i="4"/>
  <c r="O34" i="4"/>
  <c r="M34" i="4"/>
  <c r="AB34" i="4" s="1"/>
  <c r="AC34" i="4" s="1"/>
  <c r="L34" i="4"/>
  <c r="N34" i="4" s="1"/>
  <c r="P34" i="4" s="1"/>
  <c r="G34" i="4"/>
  <c r="I34" i="4" s="1"/>
  <c r="AA33" i="4"/>
  <c r="AB33" i="4" s="1"/>
  <c r="AC33" i="4" s="1"/>
  <c r="U33" i="4"/>
  <c r="O33" i="4"/>
  <c r="M33" i="4"/>
  <c r="L33" i="4"/>
  <c r="N33" i="4" s="1"/>
  <c r="P33" i="4" s="1"/>
  <c r="I33" i="4"/>
  <c r="G33" i="4"/>
  <c r="AB32" i="4"/>
  <c r="AC32" i="4" s="1"/>
  <c r="AA32" i="4"/>
  <c r="U32" i="4"/>
  <c r="V32" i="4" s="1"/>
  <c r="W32" i="4" s="1"/>
  <c r="O32" i="4"/>
  <c r="M32" i="4"/>
  <c r="L32" i="4"/>
  <c r="N32" i="4" s="1"/>
  <c r="P32" i="4" s="1"/>
  <c r="G32" i="4"/>
  <c r="I32" i="4" s="1"/>
  <c r="AB31" i="4"/>
  <c r="AC31" i="4" s="1"/>
  <c r="AA31" i="4"/>
  <c r="W31" i="4"/>
  <c r="V31" i="4"/>
  <c r="U31" i="4"/>
  <c r="O31" i="4"/>
  <c r="M31" i="4"/>
  <c r="L31" i="4"/>
  <c r="N31" i="4" s="1"/>
  <c r="P31" i="4" s="1"/>
  <c r="G31" i="4"/>
  <c r="I31" i="4" s="1"/>
  <c r="AA30" i="4"/>
  <c r="AB30" i="4" s="1"/>
  <c r="AC30" i="4" s="1"/>
  <c r="V30" i="4"/>
  <c r="W30" i="4" s="1"/>
  <c r="U30" i="4"/>
  <c r="O30" i="4"/>
  <c r="N30" i="4"/>
  <c r="P30" i="4" s="1"/>
  <c r="M30" i="4"/>
  <c r="L30" i="4"/>
  <c r="I30" i="4"/>
  <c r="G30" i="4"/>
  <c r="AA29" i="4"/>
  <c r="AB29" i="4" s="1"/>
  <c r="AC29" i="4" s="1"/>
  <c r="U29" i="4"/>
  <c r="V29" i="4" s="1"/>
  <c r="W29" i="4" s="1"/>
  <c r="O29" i="4"/>
  <c r="N29" i="4"/>
  <c r="P29" i="4" s="1"/>
  <c r="M29" i="4"/>
  <c r="L29" i="4"/>
  <c r="G29" i="4"/>
  <c r="I29" i="4" s="1"/>
  <c r="Q29" i="4" s="1"/>
  <c r="AA28" i="4"/>
  <c r="AB28" i="4" s="1"/>
  <c r="AC28" i="4" s="1"/>
  <c r="V28" i="4"/>
  <c r="W28" i="4" s="1"/>
  <c r="U28" i="4"/>
  <c r="O28" i="4"/>
  <c r="M28" i="4"/>
  <c r="L28" i="4"/>
  <c r="N28" i="4" s="1"/>
  <c r="P28" i="4" s="1"/>
  <c r="I28" i="4"/>
  <c r="G28" i="4"/>
  <c r="AA27" i="4"/>
  <c r="AB27" i="4" s="1"/>
  <c r="AC27" i="4" s="1"/>
  <c r="U27" i="4"/>
  <c r="V27" i="4" s="1"/>
  <c r="W27" i="4" s="1"/>
  <c r="O27" i="4"/>
  <c r="Q27" i="4" s="1"/>
  <c r="M27" i="4"/>
  <c r="L27" i="4"/>
  <c r="N27" i="4" s="1"/>
  <c r="P27" i="4" s="1"/>
  <c r="I27" i="4"/>
  <c r="G27" i="4"/>
  <c r="AA26" i="4"/>
  <c r="U26" i="4"/>
  <c r="V26" i="4" s="1"/>
  <c r="W26" i="4" s="1"/>
  <c r="Q26" i="4" s="1"/>
  <c r="O26" i="4"/>
  <c r="N26" i="4"/>
  <c r="P26" i="4" s="1"/>
  <c r="M26" i="4"/>
  <c r="AB26" i="4" s="1"/>
  <c r="AC26" i="4" s="1"/>
  <c r="L26" i="4"/>
  <c r="I26" i="4"/>
  <c r="G26" i="4"/>
  <c r="AA25" i="4"/>
  <c r="AB25" i="4" s="1"/>
  <c r="AC25" i="4" s="1"/>
  <c r="U25" i="4"/>
  <c r="V25" i="4" s="1"/>
  <c r="W25" i="4" s="1"/>
  <c r="O25" i="4"/>
  <c r="M25" i="4"/>
  <c r="N25" i="4" s="1"/>
  <c r="P25" i="4" s="1"/>
  <c r="L25" i="4"/>
  <c r="G25" i="4"/>
  <c r="I25" i="4" s="1"/>
  <c r="Q25" i="4" s="1"/>
  <c r="AA24" i="4"/>
  <c r="U24" i="4"/>
  <c r="V24" i="4" s="1"/>
  <c r="W24" i="4" s="1"/>
  <c r="O24" i="4"/>
  <c r="N24" i="4"/>
  <c r="P24" i="4" s="1"/>
  <c r="M24" i="4"/>
  <c r="AB24" i="4" s="1"/>
  <c r="AC24" i="4" s="1"/>
  <c r="L24" i="4"/>
  <c r="I24" i="4"/>
  <c r="G24" i="4"/>
  <c r="AA23" i="4"/>
  <c r="U23" i="4"/>
  <c r="O23" i="4"/>
  <c r="M23" i="4"/>
  <c r="AB23" i="4" s="1"/>
  <c r="AC23" i="4" s="1"/>
  <c r="L23" i="4"/>
  <c r="I23" i="4"/>
  <c r="G23" i="4"/>
  <c r="AA22" i="4"/>
  <c r="U22" i="4"/>
  <c r="V22" i="4" s="1"/>
  <c r="W22" i="4" s="1"/>
  <c r="O22" i="4"/>
  <c r="M22" i="4"/>
  <c r="AB22" i="4" s="1"/>
  <c r="AC22" i="4" s="1"/>
  <c r="L22" i="4"/>
  <c r="N22" i="4" s="1"/>
  <c r="P22" i="4" s="1"/>
  <c r="I22" i="4"/>
  <c r="G22" i="4"/>
  <c r="AA21" i="4"/>
  <c r="AB21" i="4" s="1"/>
  <c r="AC21" i="4" s="1"/>
  <c r="U21" i="4"/>
  <c r="O21" i="4"/>
  <c r="M21" i="4"/>
  <c r="V21" i="4" s="1"/>
  <c r="W21" i="4" s="1"/>
  <c r="L21" i="4"/>
  <c r="N21" i="4" s="1"/>
  <c r="P21" i="4" s="1"/>
  <c r="I21" i="4"/>
  <c r="Q21" i="4" s="1"/>
  <c r="G21" i="4"/>
  <c r="AA20" i="4"/>
  <c r="U20" i="4"/>
  <c r="O20" i="4"/>
  <c r="M20" i="4"/>
  <c r="AB20" i="4" s="1"/>
  <c r="AC20" i="4" s="1"/>
  <c r="L20" i="4"/>
  <c r="N20" i="4" s="1"/>
  <c r="P20" i="4" s="1"/>
  <c r="G20" i="4"/>
  <c r="I20" i="4" s="1"/>
  <c r="AB19" i="4"/>
  <c r="AC19" i="4" s="1"/>
  <c r="AA19" i="4"/>
  <c r="V19" i="4"/>
  <c r="W19" i="4" s="1"/>
  <c r="U19" i="4"/>
  <c r="O19" i="4"/>
  <c r="M19" i="4"/>
  <c r="L19" i="4"/>
  <c r="N19" i="4" s="1"/>
  <c r="P19" i="4" s="1"/>
  <c r="I19" i="4"/>
  <c r="Q19" i="4" s="1"/>
  <c r="G19" i="4"/>
  <c r="AA18" i="4"/>
  <c r="AB18" i="4" s="1"/>
  <c r="AC18" i="4" s="1"/>
  <c r="U18" i="4"/>
  <c r="V18" i="4" s="1"/>
  <c r="W18" i="4" s="1"/>
  <c r="O18" i="4"/>
  <c r="M18" i="4"/>
  <c r="L18" i="4"/>
  <c r="N18" i="4" s="1"/>
  <c r="P18" i="4" s="1"/>
  <c r="G18" i="4"/>
  <c r="I18" i="4" s="1"/>
  <c r="AB17" i="4"/>
  <c r="AC17" i="4" s="1"/>
  <c r="AA17" i="4"/>
  <c r="W17" i="4"/>
  <c r="V17" i="4"/>
  <c r="U17" i="4"/>
  <c r="O17" i="4"/>
  <c r="M17" i="4"/>
  <c r="L17" i="4"/>
  <c r="N17" i="4" s="1"/>
  <c r="P17" i="4" s="1"/>
  <c r="G17" i="4"/>
  <c r="I17" i="4" s="1"/>
  <c r="AA16" i="4"/>
  <c r="AB16" i="4" s="1"/>
  <c r="AC16" i="4" s="1"/>
  <c r="V16" i="4"/>
  <c r="W16" i="4" s="1"/>
  <c r="U16" i="4"/>
  <c r="O16" i="4"/>
  <c r="N16" i="4"/>
  <c r="P16" i="4" s="1"/>
  <c r="M16" i="4"/>
  <c r="L16" i="4"/>
  <c r="I16" i="4"/>
  <c r="Q16" i="4" s="1"/>
  <c r="G16" i="4"/>
  <c r="AA15" i="4"/>
  <c r="AB15" i="4" s="1"/>
  <c r="AC15" i="4" s="1"/>
  <c r="U15" i="4"/>
  <c r="V15" i="4" s="1"/>
  <c r="W15" i="4" s="1"/>
  <c r="O15" i="4"/>
  <c r="N15" i="4"/>
  <c r="P15" i="4" s="1"/>
  <c r="M15" i="4"/>
  <c r="L15" i="4"/>
  <c r="G15" i="4"/>
  <c r="I15" i="4" s="1"/>
  <c r="AA14" i="4"/>
  <c r="AB14" i="4" s="1"/>
  <c r="AC14" i="4" s="1"/>
  <c r="V14" i="4"/>
  <c r="W14" i="4" s="1"/>
  <c r="U14" i="4"/>
  <c r="O14" i="4"/>
  <c r="M14" i="4"/>
  <c r="L14" i="4"/>
  <c r="N14" i="4" s="1"/>
  <c r="P14" i="4" s="1"/>
  <c r="Q14" i="4" s="1"/>
  <c r="I14" i="4"/>
  <c r="G14" i="4"/>
  <c r="AA13" i="4"/>
  <c r="AB13" i="4" s="1"/>
  <c r="AC13" i="4" s="1"/>
  <c r="U13" i="4"/>
  <c r="V13" i="4" s="1"/>
  <c r="W13" i="4" s="1"/>
  <c r="O13" i="4"/>
  <c r="M13" i="4"/>
  <c r="L13" i="4"/>
  <c r="N13" i="4" s="1"/>
  <c r="P13" i="4" s="1"/>
  <c r="I13" i="4"/>
  <c r="G13" i="4"/>
  <c r="AA12" i="4"/>
  <c r="U12" i="4"/>
  <c r="V12" i="4" s="1"/>
  <c r="W12" i="4" s="1"/>
  <c r="O12" i="4"/>
  <c r="N12" i="4"/>
  <c r="P12" i="4" s="1"/>
  <c r="M12" i="4"/>
  <c r="AB12" i="4" s="1"/>
  <c r="AC12" i="4" s="1"/>
  <c r="L12" i="4"/>
  <c r="I12" i="4"/>
  <c r="G12" i="4"/>
  <c r="AA11" i="4"/>
  <c r="AB11" i="4" s="1"/>
  <c r="AC11" i="4" s="1"/>
  <c r="U11" i="4"/>
  <c r="V11" i="4" s="1"/>
  <c r="W11" i="4" s="1"/>
  <c r="P11" i="4"/>
  <c r="O11" i="4"/>
  <c r="N11" i="4"/>
  <c r="M11" i="4"/>
  <c r="L11" i="4"/>
  <c r="I11" i="4"/>
  <c r="G11" i="4"/>
  <c r="AA10" i="4"/>
  <c r="AB10" i="4" s="1"/>
  <c r="AC10" i="4" s="1"/>
  <c r="U10" i="4"/>
  <c r="V10" i="4" s="1"/>
  <c r="W10" i="4" s="1"/>
  <c r="P10" i="4"/>
  <c r="O10" i="4"/>
  <c r="N10" i="4"/>
  <c r="M10" i="4"/>
  <c r="L10" i="4"/>
  <c r="I10" i="4"/>
  <c r="G10" i="4"/>
  <c r="AA9" i="4"/>
  <c r="AB9" i="4" s="1"/>
  <c r="AC9" i="4" s="1"/>
  <c r="U9" i="4"/>
  <c r="V9" i="4" s="1"/>
  <c r="W9" i="4" s="1"/>
  <c r="P9" i="4"/>
  <c r="Q9" i="4" s="1"/>
  <c r="O9" i="4"/>
  <c r="N9" i="4"/>
  <c r="M9" i="4"/>
  <c r="L9" i="4"/>
  <c r="I9" i="4"/>
  <c r="G9" i="4"/>
  <c r="AA8" i="4"/>
  <c r="AB8" i="4" s="1"/>
  <c r="AC8" i="4" s="1"/>
  <c r="U8" i="4"/>
  <c r="V8" i="4" s="1"/>
  <c r="W8" i="4" s="1"/>
  <c r="P8" i="4"/>
  <c r="O8" i="4"/>
  <c r="N8" i="4"/>
  <c r="M8" i="4"/>
  <c r="L8" i="4"/>
  <c r="I8" i="4"/>
  <c r="G8" i="4"/>
  <c r="AA7" i="4"/>
  <c r="AB7" i="4" s="1"/>
  <c r="AC7" i="4" s="1"/>
  <c r="U7" i="4"/>
  <c r="V7" i="4" s="1"/>
  <c r="W7" i="4" s="1"/>
  <c r="P7" i="4"/>
  <c r="O7" i="4"/>
  <c r="N7" i="4"/>
  <c r="M7" i="4"/>
  <c r="L7" i="4"/>
  <c r="I7" i="4"/>
  <c r="G7" i="4"/>
  <c r="AA6" i="4"/>
  <c r="AB6" i="4" s="1"/>
  <c r="AC6" i="4" s="1"/>
  <c r="U6" i="4"/>
  <c r="V6" i="4" s="1"/>
  <c r="W6" i="4" s="1"/>
  <c r="P6" i="4"/>
  <c r="Q6" i="4" s="1"/>
  <c r="O6" i="4"/>
  <c r="N6" i="4"/>
  <c r="M6" i="4"/>
  <c r="L6" i="4"/>
  <c r="I6" i="4"/>
  <c r="G6" i="4"/>
  <c r="AA5" i="4"/>
  <c r="AB5" i="4" s="1"/>
  <c r="AC5" i="4" s="1"/>
  <c r="U5" i="4"/>
  <c r="V5" i="4" s="1"/>
  <c r="W5" i="4" s="1"/>
  <c r="P5" i="4"/>
  <c r="Q5" i="4" s="1"/>
  <c r="O5" i="4"/>
  <c r="N5" i="4"/>
  <c r="M5" i="4"/>
  <c r="L5" i="4"/>
  <c r="I5" i="4"/>
  <c r="G5" i="4"/>
  <c r="D47" i="6" l="1"/>
  <c r="C59" i="6" s="1"/>
  <c r="D40" i="6"/>
  <c r="D49" i="6"/>
  <c r="C60" i="6" s="1"/>
  <c r="D39" i="6"/>
  <c r="C55" i="6" s="1"/>
  <c r="D42" i="6"/>
  <c r="A31" i="7"/>
  <c r="B31" i="7" s="1"/>
  <c r="A33" i="7"/>
  <c r="A35" i="7"/>
  <c r="F35" i="7" s="1"/>
  <c r="J35" i="7" s="1"/>
  <c r="A44" i="7"/>
  <c r="A45" i="7"/>
  <c r="F45" i="7" s="1"/>
  <c r="J45" i="7" s="1"/>
  <c r="A36" i="7"/>
  <c r="F36" i="7" s="1"/>
  <c r="D46" i="7"/>
  <c r="E46" i="7" s="1"/>
  <c r="B39" i="5"/>
  <c r="B19" i="7"/>
  <c r="A47" i="7"/>
  <c r="F47" i="7" s="1"/>
  <c r="A28" i="5"/>
  <c r="B28" i="5" s="1"/>
  <c r="A28" i="7"/>
  <c r="B28" i="7" s="1"/>
  <c r="A41" i="7"/>
  <c r="R41" i="7" s="1"/>
  <c r="S41" i="7" s="1"/>
  <c r="A30" i="7"/>
  <c r="C30" i="7" s="1"/>
  <c r="D30" i="7" s="1"/>
  <c r="E30" i="7" s="1"/>
  <c r="A42" i="7"/>
  <c r="B42" i="7" s="1"/>
  <c r="Q11" i="4"/>
  <c r="Q17" i="4"/>
  <c r="Q24" i="4"/>
  <c r="Q8" i="4"/>
  <c r="Q13" i="4"/>
  <c r="Q32" i="4"/>
  <c r="Q81" i="4"/>
  <c r="Q125" i="4"/>
  <c r="Q10" i="4"/>
  <c r="Q77" i="4"/>
  <c r="Q7" i="4"/>
  <c r="Q31" i="4"/>
  <c r="Q49" i="4"/>
  <c r="Q42" i="4"/>
  <c r="Q44" i="4"/>
  <c r="Q62" i="4"/>
  <c r="Q134" i="4"/>
  <c r="Q47" i="4"/>
  <c r="Q56" i="4"/>
  <c r="Q12" i="4"/>
  <c r="Q18" i="4"/>
  <c r="Q53" i="4"/>
  <c r="Q60" i="4"/>
  <c r="Q76" i="4"/>
  <c r="Q20" i="4"/>
  <c r="Q22" i="4"/>
  <c r="Q72" i="4"/>
  <c r="Q35" i="4"/>
  <c r="Q37" i="4"/>
  <c r="Q46" i="4"/>
  <c r="Q150" i="4"/>
  <c r="Q15" i="4"/>
  <c r="Q28" i="4"/>
  <c r="Q30" i="4"/>
  <c r="Q54" i="4"/>
  <c r="Q39" i="4"/>
  <c r="Q65" i="4"/>
  <c r="Q71" i="4"/>
  <c r="Q103" i="4"/>
  <c r="Q96" i="4"/>
  <c r="V68" i="4"/>
  <c r="W68" i="4" s="1"/>
  <c r="Q68" i="4" s="1"/>
  <c r="Q83" i="4"/>
  <c r="Q108" i="4"/>
  <c r="N115" i="4"/>
  <c r="P115" i="4" s="1"/>
  <c r="Q115" i="4" s="1"/>
  <c r="N47" i="4"/>
  <c r="P47" i="4" s="1"/>
  <c r="N54" i="4"/>
  <c r="P54" i="4" s="1"/>
  <c r="N61" i="4"/>
  <c r="P61" i="4" s="1"/>
  <c r="Q61" i="4" s="1"/>
  <c r="AB125" i="4"/>
  <c r="AC125" i="4" s="1"/>
  <c r="N125" i="4"/>
  <c r="P125" i="4" s="1"/>
  <c r="N55" i="4"/>
  <c r="P55" i="4" s="1"/>
  <c r="Q55" i="4" s="1"/>
  <c r="V23" i="4"/>
  <c r="W23" i="4" s="1"/>
  <c r="Q23" i="4" s="1"/>
  <c r="V34" i="4"/>
  <c r="W34" i="4" s="1"/>
  <c r="Q34" i="4" s="1"/>
  <c r="V41" i="4"/>
  <c r="W41" i="4" s="1"/>
  <c r="Q41" i="4" s="1"/>
  <c r="V48" i="4"/>
  <c r="W48" i="4" s="1"/>
  <c r="V55" i="4"/>
  <c r="W55" i="4" s="1"/>
  <c r="V62" i="4"/>
  <c r="W62" i="4" s="1"/>
  <c r="V71" i="4"/>
  <c r="W71" i="4" s="1"/>
  <c r="V79" i="4"/>
  <c r="W79" i="4" s="1"/>
  <c r="AB104" i="4"/>
  <c r="AC104" i="4" s="1"/>
  <c r="N104" i="4"/>
  <c r="P104" i="4" s="1"/>
  <c r="Q140" i="4"/>
  <c r="AB98" i="4"/>
  <c r="AC98" i="4" s="1"/>
  <c r="N98" i="4"/>
  <c r="P98" i="4" s="1"/>
  <c r="Q98" i="4" s="1"/>
  <c r="N48" i="4"/>
  <c r="P48" i="4" s="1"/>
  <c r="Q48" i="4" s="1"/>
  <c r="Q78" i="4"/>
  <c r="Q93" i="4"/>
  <c r="N108" i="4"/>
  <c r="P108" i="4" s="1"/>
  <c r="N23" i="4"/>
  <c r="P23" i="4" s="1"/>
  <c r="N94" i="4"/>
  <c r="P94" i="4" s="1"/>
  <c r="Q94" i="4" s="1"/>
  <c r="AB111" i="4"/>
  <c r="AC111" i="4" s="1"/>
  <c r="N111" i="4"/>
  <c r="P111" i="4" s="1"/>
  <c r="Q111" i="4" s="1"/>
  <c r="AB162" i="4"/>
  <c r="AC162" i="4" s="1"/>
  <c r="V162" i="4"/>
  <c r="W162" i="4" s="1"/>
  <c r="Q162" i="4" s="1"/>
  <c r="N62" i="4"/>
  <c r="P62" i="4" s="1"/>
  <c r="AB160" i="4"/>
  <c r="AC160" i="4" s="1"/>
  <c r="V160" i="4"/>
  <c r="W160" i="4" s="1"/>
  <c r="Q160" i="4" s="1"/>
  <c r="V33" i="4"/>
  <c r="W33" i="4" s="1"/>
  <c r="Q33" i="4" s="1"/>
  <c r="V40" i="4"/>
  <c r="W40" i="4" s="1"/>
  <c r="Q40" i="4" s="1"/>
  <c r="V47" i="4"/>
  <c r="W47" i="4" s="1"/>
  <c r="V54" i="4"/>
  <c r="W54" i="4" s="1"/>
  <c r="V61" i="4"/>
  <c r="W61" i="4" s="1"/>
  <c r="AB112" i="4"/>
  <c r="AC112" i="4" s="1"/>
  <c r="N112" i="4"/>
  <c r="P112" i="4" s="1"/>
  <c r="Q112" i="4" s="1"/>
  <c r="V20" i="4"/>
  <c r="W20" i="4" s="1"/>
  <c r="Q114" i="4"/>
  <c r="Q232" i="4"/>
  <c r="Q73" i="4"/>
  <c r="Q82" i="4"/>
  <c r="AB97" i="4"/>
  <c r="AC97" i="4" s="1"/>
  <c r="N97" i="4"/>
  <c r="P97" i="4" s="1"/>
  <c r="Q97" i="4" s="1"/>
  <c r="AB119" i="4"/>
  <c r="AC119" i="4" s="1"/>
  <c r="N119" i="4"/>
  <c r="P119" i="4" s="1"/>
  <c r="Q124" i="4"/>
  <c r="N101" i="4"/>
  <c r="P101" i="4" s="1"/>
  <c r="Q101" i="4" s="1"/>
  <c r="Q86" i="4"/>
  <c r="AB105" i="4"/>
  <c r="AC105" i="4" s="1"/>
  <c r="N105" i="4"/>
  <c r="P105" i="4" s="1"/>
  <c r="Q105" i="4" s="1"/>
  <c r="V70" i="4"/>
  <c r="W70" i="4" s="1"/>
  <c r="Q70" i="4" s="1"/>
  <c r="AB71" i="4"/>
  <c r="AC71" i="4" s="1"/>
  <c r="AB81" i="4"/>
  <c r="AC81" i="4" s="1"/>
  <c r="V84" i="4"/>
  <c r="W84" i="4" s="1"/>
  <c r="Q84" i="4" s="1"/>
  <c r="AB88" i="4"/>
  <c r="AC88" i="4" s="1"/>
  <c r="Q88" i="4" s="1"/>
  <c r="V91" i="4"/>
  <c r="W91" i="4" s="1"/>
  <c r="Q91" i="4" s="1"/>
  <c r="V98" i="4"/>
  <c r="W98" i="4" s="1"/>
  <c r="V105" i="4"/>
  <c r="W105" i="4" s="1"/>
  <c r="V112" i="4"/>
  <c r="W112" i="4" s="1"/>
  <c r="V125" i="4"/>
  <c r="W125" i="4" s="1"/>
  <c r="AB148" i="4"/>
  <c r="AC148" i="4" s="1"/>
  <c r="V148" i="4"/>
  <c r="W148" i="4" s="1"/>
  <c r="Q148" i="4" s="1"/>
  <c r="V80" i="4"/>
  <c r="W80" i="4" s="1"/>
  <c r="Q80" i="4" s="1"/>
  <c r="V120" i="4"/>
  <c r="W120" i="4" s="1"/>
  <c r="Q120" i="4" s="1"/>
  <c r="AB146" i="4"/>
  <c r="AC146" i="4" s="1"/>
  <c r="V146" i="4"/>
  <c r="W146" i="4" s="1"/>
  <c r="Q173" i="4"/>
  <c r="V69" i="4"/>
  <c r="W69" i="4" s="1"/>
  <c r="Q69" i="4" s="1"/>
  <c r="AB70" i="4"/>
  <c r="AC70" i="4" s="1"/>
  <c r="V75" i="4"/>
  <c r="W75" i="4" s="1"/>
  <c r="Q75" i="4" s="1"/>
  <c r="AB84" i="4"/>
  <c r="AC84" i="4" s="1"/>
  <c r="V87" i="4"/>
  <c r="W87" i="4" s="1"/>
  <c r="Q87" i="4" s="1"/>
  <c r="AB91" i="4"/>
  <c r="AC91" i="4" s="1"/>
  <c r="N93" i="4"/>
  <c r="P93" i="4" s="1"/>
  <c r="V94" i="4"/>
  <c r="W94" i="4" s="1"/>
  <c r="N100" i="4"/>
  <c r="P100" i="4" s="1"/>
  <c r="Q100" i="4" s="1"/>
  <c r="V101" i="4"/>
  <c r="W101" i="4" s="1"/>
  <c r="N107" i="4"/>
  <c r="P107" i="4" s="1"/>
  <c r="Q107" i="4" s="1"/>
  <c r="V108" i="4"/>
  <c r="W108" i="4" s="1"/>
  <c r="N114" i="4"/>
  <c r="P114" i="4" s="1"/>
  <c r="V115" i="4"/>
  <c r="W115" i="4" s="1"/>
  <c r="N123" i="4"/>
  <c r="P123" i="4" s="1"/>
  <c r="Q123" i="4" s="1"/>
  <c r="V132" i="4"/>
  <c r="W132" i="4" s="1"/>
  <c r="Q132" i="4" s="1"/>
  <c r="Q163" i="4"/>
  <c r="AB80" i="4"/>
  <c r="AC80" i="4" s="1"/>
  <c r="N118" i="4"/>
  <c r="P118" i="4" s="1"/>
  <c r="Q118" i="4" s="1"/>
  <c r="V124" i="4"/>
  <c r="W124" i="4" s="1"/>
  <c r="AB132" i="4"/>
  <c r="AC132" i="4" s="1"/>
  <c r="AB134" i="4"/>
  <c r="AC134" i="4" s="1"/>
  <c r="N169" i="4"/>
  <c r="P169" i="4" s="1"/>
  <c r="Q169" i="4" s="1"/>
  <c r="V83" i="4"/>
  <c r="W83" i="4" s="1"/>
  <c r="AB87" i="4"/>
  <c r="AC87" i="4" s="1"/>
  <c r="V90" i="4"/>
  <c r="W90" i="4" s="1"/>
  <c r="Q90" i="4" s="1"/>
  <c r="V97" i="4"/>
  <c r="W97" i="4" s="1"/>
  <c r="V104" i="4"/>
  <c r="W104" i="4" s="1"/>
  <c r="Q104" i="4" s="1"/>
  <c r="V111" i="4"/>
  <c r="W111" i="4" s="1"/>
  <c r="V119" i="4"/>
  <c r="W119" i="4" s="1"/>
  <c r="Q119" i="4" s="1"/>
  <c r="N129" i="4"/>
  <c r="P129" i="4" s="1"/>
  <c r="Q129" i="4" s="1"/>
  <c r="Q159" i="4"/>
  <c r="AB169" i="4"/>
  <c r="AC169" i="4" s="1"/>
  <c r="V169" i="4"/>
  <c r="W169" i="4" s="1"/>
  <c r="Q187" i="4"/>
  <c r="Q147" i="4"/>
  <c r="N155" i="4"/>
  <c r="P155" i="4" s="1"/>
  <c r="Q155" i="4" s="1"/>
  <c r="AB167" i="4"/>
  <c r="AC167" i="4" s="1"/>
  <c r="V167" i="4"/>
  <c r="W167" i="4" s="1"/>
  <c r="Q175" i="4"/>
  <c r="N187" i="4"/>
  <c r="P187" i="4" s="1"/>
  <c r="AB68" i="4"/>
  <c r="AC68" i="4" s="1"/>
  <c r="AB79" i="4"/>
  <c r="AC79" i="4" s="1"/>
  <c r="Q79" i="4" s="1"/>
  <c r="AB83" i="4"/>
  <c r="AC83" i="4" s="1"/>
  <c r="V86" i="4"/>
  <c r="W86" i="4" s="1"/>
  <c r="AB90" i="4"/>
  <c r="AC90" i="4" s="1"/>
  <c r="N92" i="4"/>
  <c r="P92" i="4" s="1"/>
  <c r="Q92" i="4" s="1"/>
  <c r="V93" i="4"/>
  <c r="W93" i="4" s="1"/>
  <c r="N99" i="4"/>
  <c r="P99" i="4" s="1"/>
  <c r="Q99" i="4" s="1"/>
  <c r="V100" i="4"/>
  <c r="W100" i="4" s="1"/>
  <c r="N106" i="4"/>
  <c r="P106" i="4" s="1"/>
  <c r="Q106" i="4" s="1"/>
  <c r="V107" i="4"/>
  <c r="W107" i="4" s="1"/>
  <c r="AB155" i="4"/>
  <c r="AC155" i="4" s="1"/>
  <c r="V155" i="4"/>
  <c r="W155" i="4" s="1"/>
  <c r="Q179" i="4"/>
  <c r="Q193" i="4"/>
  <c r="Q203" i="4"/>
  <c r="V129" i="4"/>
  <c r="W129" i="4" s="1"/>
  <c r="N141" i="4"/>
  <c r="P141" i="4" s="1"/>
  <c r="Q141" i="4" s="1"/>
  <c r="AB153" i="4"/>
  <c r="AC153" i="4" s="1"/>
  <c r="V153" i="4"/>
  <c r="W153" i="4" s="1"/>
  <c r="Q207" i="4"/>
  <c r="AB86" i="4"/>
  <c r="AC86" i="4" s="1"/>
  <c r="N95" i="4"/>
  <c r="P95" i="4" s="1"/>
  <c r="Q95" i="4" s="1"/>
  <c r="N102" i="4"/>
  <c r="P102" i="4" s="1"/>
  <c r="Q102" i="4" s="1"/>
  <c r="N109" i="4"/>
  <c r="P109" i="4" s="1"/>
  <c r="Q109" i="4" s="1"/>
  <c r="N121" i="4"/>
  <c r="P121" i="4" s="1"/>
  <c r="Q121" i="4" s="1"/>
  <c r="Q172" i="4"/>
  <c r="Q146" i="4"/>
  <c r="AB151" i="4"/>
  <c r="AC151" i="4" s="1"/>
  <c r="V151" i="4"/>
  <c r="W151" i="4" s="1"/>
  <c r="Q153" i="4"/>
  <c r="AB158" i="4"/>
  <c r="AC158" i="4" s="1"/>
  <c r="V158" i="4"/>
  <c r="W158" i="4" s="1"/>
  <c r="AB165" i="4"/>
  <c r="AC165" i="4" s="1"/>
  <c r="V165" i="4"/>
  <c r="W165" i="4" s="1"/>
  <c r="Q167" i="4"/>
  <c r="Q174" i="4"/>
  <c r="Q213" i="4"/>
  <c r="Q235" i="4"/>
  <c r="Q237" i="4"/>
  <c r="Q250" i="4"/>
  <c r="N139" i="4"/>
  <c r="P139" i="4" s="1"/>
  <c r="Q139" i="4" s="1"/>
  <c r="N146" i="4"/>
  <c r="P146" i="4" s="1"/>
  <c r="N153" i="4"/>
  <c r="P153" i="4" s="1"/>
  <c r="N160" i="4"/>
  <c r="P160" i="4" s="1"/>
  <c r="N167" i="4"/>
  <c r="P167" i="4" s="1"/>
  <c r="N174" i="4"/>
  <c r="P174" i="4" s="1"/>
  <c r="Q197" i="4"/>
  <c r="N200" i="4"/>
  <c r="P200" i="4" s="1"/>
  <c r="Q200" i="4" s="1"/>
  <c r="Q202" i="4"/>
  <c r="AB139" i="4"/>
  <c r="AC139" i="4" s="1"/>
  <c r="V174" i="4"/>
  <c r="W174" i="4" s="1"/>
  <c r="V190" i="4"/>
  <c r="W190" i="4" s="1"/>
  <c r="Q196" i="4"/>
  <c r="V200" i="4"/>
  <c r="W200" i="4" s="1"/>
  <c r="N128" i="4"/>
  <c r="P128" i="4" s="1"/>
  <c r="N131" i="4"/>
  <c r="P131" i="4" s="1"/>
  <c r="V134" i="4"/>
  <c r="W134" i="4" s="1"/>
  <c r="V141" i="4"/>
  <c r="W141" i="4" s="1"/>
  <c r="AB150" i="4"/>
  <c r="AC150" i="4" s="1"/>
  <c r="V150" i="4"/>
  <c r="W150" i="4" s="1"/>
  <c r="AB157" i="4"/>
  <c r="AC157" i="4" s="1"/>
  <c r="V157" i="4"/>
  <c r="W157" i="4" s="1"/>
  <c r="Q157" i="4" s="1"/>
  <c r="AB164" i="4"/>
  <c r="AC164" i="4" s="1"/>
  <c r="V164" i="4"/>
  <c r="W164" i="4" s="1"/>
  <c r="Q164" i="4" s="1"/>
  <c r="AB171" i="4"/>
  <c r="AC171" i="4" s="1"/>
  <c r="V171" i="4"/>
  <c r="W171" i="4" s="1"/>
  <c r="Q171" i="4" s="1"/>
  <c r="Q183" i="4"/>
  <c r="V202" i="4"/>
  <c r="W202" i="4" s="1"/>
  <c r="Q220" i="4"/>
  <c r="AB187" i="4"/>
  <c r="AC187" i="4" s="1"/>
  <c r="AB232" i="4"/>
  <c r="AC232" i="4" s="1"/>
  <c r="V136" i="4"/>
  <c r="W136" i="4" s="1"/>
  <c r="Q136" i="4" s="1"/>
  <c r="V143" i="4"/>
  <c r="W143" i="4" s="1"/>
  <c r="Q143" i="4" s="1"/>
  <c r="AB145" i="4"/>
  <c r="AC145" i="4" s="1"/>
  <c r="V145" i="4"/>
  <c r="W145" i="4" s="1"/>
  <c r="Q145" i="4" s="1"/>
  <c r="AB152" i="4"/>
  <c r="AC152" i="4" s="1"/>
  <c r="Q152" i="4" s="1"/>
  <c r="V152" i="4"/>
  <c r="W152" i="4" s="1"/>
  <c r="AB159" i="4"/>
  <c r="AC159" i="4" s="1"/>
  <c r="V159" i="4"/>
  <c r="W159" i="4" s="1"/>
  <c r="AB166" i="4"/>
  <c r="AC166" i="4" s="1"/>
  <c r="V166" i="4"/>
  <c r="W166" i="4" s="1"/>
  <c r="Q166" i="4" s="1"/>
  <c r="N186" i="4"/>
  <c r="P186" i="4" s="1"/>
  <c r="Q186" i="4" s="1"/>
  <c r="Q195" i="4"/>
  <c r="N201" i="4"/>
  <c r="P201" i="4" s="1"/>
  <c r="Q201" i="4" s="1"/>
  <c r="Q259" i="4"/>
  <c r="Q261" i="4"/>
  <c r="Q127" i="4"/>
  <c r="V128" i="4"/>
  <c r="W128" i="4" s="1"/>
  <c r="Q128" i="4" s="1"/>
  <c r="V131" i="4"/>
  <c r="W131" i="4" s="1"/>
  <c r="Q131" i="4" s="1"/>
  <c r="Q188" i="4"/>
  <c r="Q214" i="4"/>
  <c r="Q240" i="4"/>
  <c r="Q286" i="4"/>
  <c r="AB147" i="4"/>
  <c r="AC147" i="4" s="1"/>
  <c r="V147" i="4"/>
  <c r="W147" i="4" s="1"/>
  <c r="AB154" i="4"/>
  <c r="AC154" i="4" s="1"/>
  <c r="V154" i="4"/>
  <c r="W154" i="4" s="1"/>
  <c r="Q154" i="4" s="1"/>
  <c r="AB161" i="4"/>
  <c r="AC161" i="4" s="1"/>
  <c r="V161" i="4"/>
  <c r="W161" i="4" s="1"/>
  <c r="Q161" i="4" s="1"/>
  <c r="AB168" i="4"/>
  <c r="AC168" i="4" s="1"/>
  <c r="V168" i="4"/>
  <c r="W168" i="4" s="1"/>
  <c r="Q168" i="4" s="1"/>
  <c r="V176" i="4"/>
  <c r="W176" i="4" s="1"/>
  <c r="N228" i="4"/>
  <c r="P228" i="4" s="1"/>
  <c r="AB228" i="4"/>
  <c r="AC228" i="4" s="1"/>
  <c r="B59" i="6"/>
  <c r="N130" i="4"/>
  <c r="P130" i="4" s="1"/>
  <c r="Q130" i="4" s="1"/>
  <c r="N135" i="4"/>
  <c r="P135" i="4" s="1"/>
  <c r="Q135" i="4" s="1"/>
  <c r="N142" i="4"/>
  <c r="P142" i="4" s="1"/>
  <c r="Q142" i="4" s="1"/>
  <c r="N149" i="4"/>
  <c r="P149" i="4" s="1"/>
  <c r="Q149" i="4" s="1"/>
  <c r="N156" i="4"/>
  <c r="P156" i="4" s="1"/>
  <c r="Q156" i="4" s="1"/>
  <c r="N163" i="4"/>
  <c r="P163" i="4" s="1"/>
  <c r="N170" i="4"/>
  <c r="P170" i="4" s="1"/>
  <c r="Q170" i="4" s="1"/>
  <c r="AB189" i="4"/>
  <c r="AC189" i="4" s="1"/>
  <c r="Q189" i="4" s="1"/>
  <c r="V204" i="4"/>
  <c r="W204" i="4" s="1"/>
  <c r="Q209" i="4"/>
  <c r="V133" i="4"/>
  <c r="W133" i="4" s="1"/>
  <c r="Q133" i="4" s="1"/>
  <c r="V140" i="4"/>
  <c r="W140" i="4" s="1"/>
  <c r="AB149" i="4"/>
  <c r="AC149" i="4" s="1"/>
  <c r="V149" i="4"/>
  <c r="W149" i="4" s="1"/>
  <c r="AB156" i="4"/>
  <c r="AC156" i="4" s="1"/>
  <c r="V156" i="4"/>
  <c r="W156" i="4" s="1"/>
  <c r="AB163" i="4"/>
  <c r="AC163" i="4" s="1"/>
  <c r="V163" i="4"/>
  <c r="W163" i="4" s="1"/>
  <c r="AB170" i="4"/>
  <c r="AC170" i="4" s="1"/>
  <c r="V170" i="4"/>
  <c r="W170" i="4" s="1"/>
  <c r="V186" i="4"/>
  <c r="W186" i="4" s="1"/>
  <c r="N126" i="4"/>
  <c r="P126" i="4" s="1"/>
  <c r="Q126" i="4" s="1"/>
  <c r="V127" i="4"/>
  <c r="W127" i="4" s="1"/>
  <c r="AB133" i="4"/>
  <c r="AC133" i="4" s="1"/>
  <c r="N137" i="4"/>
  <c r="P137" i="4" s="1"/>
  <c r="Q137" i="4" s="1"/>
  <c r="AB140" i="4"/>
  <c r="AC140" i="4" s="1"/>
  <c r="N144" i="4"/>
  <c r="P144" i="4" s="1"/>
  <c r="Q144" i="4" s="1"/>
  <c r="N151" i="4"/>
  <c r="P151" i="4" s="1"/>
  <c r="Q151" i="4" s="1"/>
  <c r="N158" i="4"/>
  <c r="P158" i="4" s="1"/>
  <c r="Q158" i="4" s="1"/>
  <c r="N165" i="4"/>
  <c r="P165" i="4" s="1"/>
  <c r="Q165" i="4" s="1"/>
  <c r="N172" i="4"/>
  <c r="P172" i="4" s="1"/>
  <c r="Q181" i="4"/>
  <c r="AB201" i="4"/>
  <c r="AC201" i="4" s="1"/>
  <c r="Q211" i="4"/>
  <c r="Q245" i="4"/>
  <c r="N202" i="4"/>
  <c r="P202" i="4" s="1"/>
  <c r="Q233" i="4"/>
  <c r="Q241" i="4"/>
  <c r="N184" i="4"/>
  <c r="P184" i="4" s="1"/>
  <c r="Q184" i="4" s="1"/>
  <c r="N198" i="4"/>
  <c r="P198" i="4" s="1"/>
  <c r="Q198" i="4" s="1"/>
  <c r="N210" i="4"/>
  <c r="P210" i="4" s="1"/>
  <c r="Q210" i="4" s="1"/>
  <c r="N231" i="4"/>
  <c r="P231" i="4" s="1"/>
  <c r="C48" i="6"/>
  <c r="Q290" i="4"/>
  <c r="C44" i="6"/>
  <c r="B57" i="6" s="1"/>
  <c r="N182" i="4"/>
  <c r="P182" i="4" s="1"/>
  <c r="Q182" i="4" s="1"/>
  <c r="N196" i="4"/>
  <c r="P196" i="4" s="1"/>
  <c r="AB224" i="4"/>
  <c r="AC224" i="4" s="1"/>
  <c r="Q224" i="4" s="1"/>
  <c r="V228" i="4"/>
  <c r="W228" i="4" s="1"/>
  <c r="Q267" i="4"/>
  <c r="Q276" i="4"/>
  <c r="Q299" i="4"/>
  <c r="N180" i="4"/>
  <c r="P180" i="4" s="1"/>
  <c r="Q180" i="4" s="1"/>
  <c r="N194" i="4"/>
  <c r="P194" i="4" s="1"/>
  <c r="Q194" i="4" s="1"/>
  <c r="N208" i="4"/>
  <c r="P208" i="4" s="1"/>
  <c r="Q208" i="4" s="1"/>
  <c r="AB211" i="4"/>
  <c r="AC211" i="4" s="1"/>
  <c r="V219" i="4"/>
  <c r="W219" i="4" s="1"/>
  <c r="Q219" i="4" s="1"/>
  <c r="N222" i="4"/>
  <c r="P222" i="4" s="1"/>
  <c r="Q222" i="4" s="1"/>
  <c r="N267" i="4"/>
  <c r="P267" i="4" s="1"/>
  <c r="V223" i="4"/>
  <c r="W223" i="4" s="1"/>
  <c r="Q223" i="4" s="1"/>
  <c r="Q242" i="4"/>
  <c r="Q262" i="4"/>
  <c r="Q269" i="4"/>
  <c r="Q278" i="4"/>
  <c r="N283" i="4"/>
  <c r="P283" i="4" s="1"/>
  <c r="AB288" i="4"/>
  <c r="AC288" i="4" s="1"/>
  <c r="A44" i="5"/>
  <c r="B44" i="5" s="1"/>
  <c r="A37" i="5"/>
  <c r="B37" i="5" s="1"/>
  <c r="A30" i="5"/>
  <c r="B30" i="5" s="1"/>
  <c r="A23" i="5"/>
  <c r="B23" i="5" s="1"/>
  <c r="A47" i="5"/>
  <c r="B47" i="5" s="1"/>
  <c r="A40" i="5"/>
  <c r="B40" i="5" s="1"/>
  <c r="A33" i="5"/>
  <c r="B33" i="5" s="1"/>
  <c r="A26" i="5"/>
  <c r="B26" i="5" s="1"/>
  <c r="A43" i="5"/>
  <c r="B43" i="5" s="1"/>
  <c r="A36" i="5"/>
  <c r="B36" i="5" s="1"/>
  <c r="A29" i="5"/>
  <c r="B29" i="5" s="1"/>
  <c r="A22" i="5"/>
  <c r="A41" i="5"/>
  <c r="B41" i="5" s="1"/>
  <c r="A34" i="5"/>
  <c r="A27" i="5"/>
  <c r="B27" i="5" s="1"/>
  <c r="A20" i="5"/>
  <c r="B20" i="5" s="1"/>
  <c r="A31" i="5"/>
  <c r="B31" i="5" s="1"/>
  <c r="B8" i="5"/>
  <c r="A35" i="5"/>
  <c r="A45" i="5"/>
  <c r="A32" i="5"/>
  <c r="B32" i="5" s="1"/>
  <c r="A24" i="5"/>
  <c r="B24" i="5" s="1"/>
  <c r="A46" i="5"/>
  <c r="A42" i="5"/>
  <c r="B42" i="5" s="1"/>
  <c r="A38" i="5"/>
  <c r="B38" i="5" s="1"/>
  <c r="A25" i="5"/>
  <c r="N178" i="4"/>
  <c r="P178" i="4" s="1"/>
  <c r="Q178" i="4" s="1"/>
  <c r="N192" i="4"/>
  <c r="P192" i="4" s="1"/>
  <c r="Q192" i="4" s="1"/>
  <c r="N206" i="4"/>
  <c r="P206" i="4" s="1"/>
  <c r="Q206" i="4" s="1"/>
  <c r="N217" i="4"/>
  <c r="P217" i="4" s="1"/>
  <c r="Q217" i="4" s="1"/>
  <c r="N262" i="4"/>
  <c r="P262" i="4" s="1"/>
  <c r="Q264" i="4"/>
  <c r="N177" i="4"/>
  <c r="P177" i="4" s="1"/>
  <c r="Q177" i="4" s="1"/>
  <c r="N191" i="4"/>
  <c r="P191" i="4" s="1"/>
  <c r="Q191" i="4" s="1"/>
  <c r="N205" i="4"/>
  <c r="P205" i="4" s="1"/>
  <c r="Q205" i="4" s="1"/>
  <c r="AB210" i="4"/>
  <c r="AC210" i="4" s="1"/>
  <c r="AB223" i="4"/>
  <c r="AC223" i="4" s="1"/>
  <c r="Q230" i="4"/>
  <c r="Q239" i="4"/>
  <c r="Q252" i="4"/>
  <c r="A21" i="5"/>
  <c r="B21" i="5" s="1"/>
  <c r="N176" i="4"/>
  <c r="P176" i="4" s="1"/>
  <c r="Q176" i="4" s="1"/>
  <c r="N190" i="4"/>
  <c r="P190" i="4" s="1"/>
  <c r="Q190" i="4" s="1"/>
  <c r="N204" i="4"/>
  <c r="P204" i="4" s="1"/>
  <c r="Q244" i="4"/>
  <c r="N296" i="4"/>
  <c r="P296" i="4" s="1"/>
  <c r="Q298" i="4"/>
  <c r="V231" i="4"/>
  <c r="W231" i="4" s="1"/>
  <c r="Q271" i="4"/>
  <c r="Q292" i="4"/>
  <c r="V293" i="4"/>
  <c r="W293" i="4" s="1"/>
  <c r="N295" i="4"/>
  <c r="P295" i="4" s="1"/>
  <c r="P25" i="6"/>
  <c r="C45" i="6" s="1"/>
  <c r="B58" i="6" s="1"/>
  <c r="V226" i="4"/>
  <c r="W226" i="4" s="1"/>
  <c r="Q226" i="4" s="1"/>
  <c r="Q270" i="4"/>
  <c r="AB282" i="4"/>
  <c r="AC282" i="4" s="1"/>
  <c r="N286" i="4"/>
  <c r="P286" i="4" s="1"/>
  <c r="J46" i="7"/>
  <c r="H46" i="7"/>
  <c r="I46" i="7" s="1"/>
  <c r="G46" i="7"/>
  <c r="V225" i="4"/>
  <c r="W225" i="4" s="1"/>
  <c r="Q225" i="4" s="1"/>
  <c r="N233" i="4"/>
  <c r="P233" i="4" s="1"/>
  <c r="V262" i="4"/>
  <c r="W262" i="4" s="1"/>
  <c r="Q296" i="4"/>
  <c r="V221" i="4"/>
  <c r="W221" i="4" s="1"/>
  <c r="Q221" i="4" s="1"/>
  <c r="Q257" i="4"/>
  <c r="Q280" i="4"/>
  <c r="C46" i="6"/>
  <c r="V220" i="4"/>
  <c r="W220" i="4" s="1"/>
  <c r="V233" i="4"/>
  <c r="W233" i="4" s="1"/>
  <c r="Q260" i="4"/>
  <c r="Q274" i="4"/>
  <c r="V283" i="4"/>
  <c r="W283" i="4" s="1"/>
  <c r="Q283" i="4" s="1"/>
  <c r="P14" i="6"/>
  <c r="C41" i="6" s="1"/>
  <c r="B56" i="6" s="1"/>
  <c r="Q287" i="4"/>
  <c r="V218" i="4"/>
  <c r="W218" i="4" s="1"/>
  <c r="Q218" i="4" s="1"/>
  <c r="V232" i="4"/>
  <c r="W232" i="4" s="1"/>
  <c r="N266" i="4"/>
  <c r="P266" i="4" s="1"/>
  <c r="AB283" i="4"/>
  <c r="AC283" i="4" s="1"/>
  <c r="C31" i="7"/>
  <c r="D31" i="7" s="1"/>
  <c r="E31" i="7" s="1"/>
  <c r="N263" i="4"/>
  <c r="P263" i="4" s="1"/>
  <c r="Q263" i="4" s="1"/>
  <c r="N284" i="4"/>
  <c r="P284" i="4" s="1"/>
  <c r="Q284" i="4" s="1"/>
  <c r="Q293" i="4"/>
  <c r="V294" i="4"/>
  <c r="W294" i="4" s="1"/>
  <c r="Q300" i="4"/>
  <c r="C50" i="6"/>
  <c r="B60" i="6" s="1"/>
  <c r="V271" i="4"/>
  <c r="W271" i="4" s="1"/>
  <c r="N279" i="4"/>
  <c r="P279" i="4" s="1"/>
  <c r="V285" i="4"/>
  <c r="W285" i="4" s="1"/>
  <c r="N293" i="4"/>
  <c r="P293" i="4" s="1"/>
  <c r="V263" i="4"/>
  <c r="W263" i="4" s="1"/>
  <c r="N273" i="4"/>
  <c r="P273" i="4" s="1"/>
  <c r="Q273" i="4" s="1"/>
  <c r="V279" i="4"/>
  <c r="W279" i="4" s="1"/>
  <c r="Q279" i="4" s="1"/>
  <c r="N287" i="4"/>
  <c r="P287" i="4" s="1"/>
  <c r="N299" i="4"/>
  <c r="P299" i="4" s="1"/>
  <c r="D43" i="6"/>
  <c r="C57" i="6" s="1"/>
  <c r="Q277" i="4"/>
  <c r="N282" i="4"/>
  <c r="P282" i="4" s="1"/>
  <c r="Q282" i="4" s="1"/>
  <c r="V288" i="4"/>
  <c r="W288" i="4" s="1"/>
  <c r="Q288" i="4" s="1"/>
  <c r="V296" i="4"/>
  <c r="W296" i="4" s="1"/>
  <c r="R44" i="7"/>
  <c r="S44" i="7" s="1"/>
  <c r="D44" i="7"/>
  <c r="E44" i="7" s="1"/>
  <c r="M44" i="7"/>
  <c r="N258" i="4"/>
  <c r="P258" i="4" s="1"/>
  <c r="Q258" i="4" s="1"/>
  <c r="N265" i="4"/>
  <c r="P265" i="4" s="1"/>
  <c r="Q265" i="4" s="1"/>
  <c r="V282" i="4"/>
  <c r="W282" i="4" s="1"/>
  <c r="V295" i="4"/>
  <c r="W295" i="4" s="1"/>
  <c r="Q295" i="4" s="1"/>
  <c r="F44" i="7"/>
  <c r="N257" i="4"/>
  <c r="P257" i="4" s="1"/>
  <c r="V260" i="4"/>
  <c r="W260" i="4" s="1"/>
  <c r="V267" i="4"/>
  <c r="W267" i="4" s="1"/>
  <c r="N271" i="4"/>
  <c r="P271" i="4" s="1"/>
  <c r="V277" i="4"/>
  <c r="W277" i="4" s="1"/>
  <c r="N285" i="4"/>
  <c r="P285" i="4" s="1"/>
  <c r="Q285" i="4" s="1"/>
  <c r="V291" i="4"/>
  <c r="W291" i="4" s="1"/>
  <c r="Q291" i="4" s="1"/>
  <c r="N294" i="4"/>
  <c r="P294" i="4" s="1"/>
  <c r="Q294" i="4" s="1"/>
  <c r="D44" i="6"/>
  <c r="D50" i="6"/>
  <c r="F33" i="7"/>
  <c r="C33" i="7"/>
  <c r="D33" i="7" s="1"/>
  <c r="E33" i="7" s="1"/>
  <c r="V259" i="4"/>
  <c r="W259" i="4" s="1"/>
  <c r="V266" i="4"/>
  <c r="W266" i="4" s="1"/>
  <c r="N275" i="4"/>
  <c r="P275" i="4" s="1"/>
  <c r="Q275" i="4" s="1"/>
  <c r="V281" i="4"/>
  <c r="W281" i="4" s="1"/>
  <c r="Q281" i="4" s="1"/>
  <c r="N289" i="4"/>
  <c r="P289" i="4" s="1"/>
  <c r="Q289" i="4" s="1"/>
  <c r="N297" i="4"/>
  <c r="P297" i="4" s="1"/>
  <c r="Q297" i="4" s="1"/>
  <c r="D48" i="6"/>
  <c r="O46" i="7"/>
  <c r="M46" i="7"/>
  <c r="Q46" i="7"/>
  <c r="C46" i="7"/>
  <c r="B46" i="7"/>
  <c r="B33" i="7"/>
  <c r="R46" i="7"/>
  <c r="S46" i="7" s="1"/>
  <c r="A38" i="7"/>
  <c r="A39" i="7"/>
  <c r="A34" i="7"/>
  <c r="A48" i="7"/>
  <c r="A37" i="7"/>
  <c r="A40" i="7"/>
  <c r="A29" i="7"/>
  <c r="A43" i="7"/>
  <c r="A32" i="7"/>
  <c r="F42" i="7" l="1"/>
  <c r="G42" i="7" s="1"/>
  <c r="D42" i="7"/>
  <c r="E42" i="7" s="1"/>
  <c r="F31" i="7"/>
  <c r="G31" i="7" s="1"/>
  <c r="R45" i="7"/>
  <c r="S45" i="7" s="1"/>
  <c r="K46" i="7"/>
  <c r="L46" i="7" s="1"/>
  <c r="G45" i="7"/>
  <c r="O45" i="7"/>
  <c r="C28" i="7"/>
  <c r="D28" i="7" s="1"/>
  <c r="E28" i="7" s="1"/>
  <c r="B35" i="7"/>
  <c r="H45" i="7"/>
  <c r="I45" i="7" s="1"/>
  <c r="K45" i="7" s="1"/>
  <c r="L45" i="7" s="1"/>
  <c r="G35" i="7"/>
  <c r="B45" i="7"/>
  <c r="C35" i="7"/>
  <c r="D35" i="7" s="1"/>
  <c r="E35" i="7" s="1"/>
  <c r="O47" i="7"/>
  <c r="C47" i="7"/>
  <c r="M45" i="7"/>
  <c r="Q47" i="7"/>
  <c r="D45" i="7"/>
  <c r="E45" i="7" s="1"/>
  <c r="C36" i="7"/>
  <c r="D36" i="7"/>
  <c r="E36" i="7" s="1"/>
  <c r="Q45" i="7"/>
  <c r="C45" i="7"/>
  <c r="Q36" i="7"/>
  <c r="F28" i="7"/>
  <c r="G28" i="7" s="1"/>
  <c r="F30" i="7"/>
  <c r="B30" i="7"/>
  <c r="R47" i="7"/>
  <c r="S47" i="7" s="1"/>
  <c r="M47" i="7"/>
  <c r="D47" i="7"/>
  <c r="E47" i="7" s="1"/>
  <c r="B47" i="7"/>
  <c r="B36" i="7"/>
  <c r="O41" i="7"/>
  <c r="B41" i="7"/>
  <c r="O42" i="7"/>
  <c r="M42" i="7"/>
  <c r="C41" i="7"/>
  <c r="C42" i="7"/>
  <c r="D41" i="7"/>
  <c r="E41" i="7" s="1"/>
  <c r="R36" i="7"/>
  <c r="S36" i="7" s="1"/>
  <c r="O36" i="7"/>
  <c r="M36" i="7"/>
  <c r="Q42" i="7"/>
  <c r="Q41" i="7"/>
  <c r="F41" i="7"/>
  <c r="G41" i="7" s="1"/>
  <c r="M41" i="7"/>
  <c r="R42" i="7"/>
  <c r="S42" i="7" s="1"/>
  <c r="M28" i="7"/>
  <c r="O44" i="7"/>
  <c r="B44" i="7"/>
  <c r="C44" i="7"/>
  <c r="Q44" i="7"/>
  <c r="B12" i="7"/>
  <c r="B10" i="5"/>
  <c r="B15" i="5" s="1"/>
  <c r="B16" i="5" s="1"/>
  <c r="B11" i="7"/>
  <c r="B9" i="5"/>
  <c r="B43" i="7"/>
  <c r="O43" i="7"/>
  <c r="M43" i="7"/>
  <c r="R43" i="7"/>
  <c r="S43" i="7" s="1"/>
  <c r="D43" i="7"/>
  <c r="E43" i="7" s="1"/>
  <c r="Q43" i="7"/>
  <c r="C43" i="7"/>
  <c r="F43" i="7"/>
  <c r="J33" i="7"/>
  <c r="G33" i="7"/>
  <c r="B46" i="5"/>
  <c r="B45" i="5"/>
  <c r="C34" i="7"/>
  <c r="D34" i="7" s="1"/>
  <c r="E34" i="7" s="1"/>
  <c r="B34" i="7"/>
  <c r="F34" i="7"/>
  <c r="J44" i="7"/>
  <c r="H44" i="7"/>
  <c r="I44" i="7" s="1"/>
  <c r="G44" i="7"/>
  <c r="C32" i="7"/>
  <c r="F32" i="7"/>
  <c r="B32" i="7"/>
  <c r="M38" i="7"/>
  <c r="F38" i="7"/>
  <c r="O38" i="7"/>
  <c r="B38" i="7"/>
  <c r="Q38" i="7"/>
  <c r="D38" i="7"/>
  <c r="E38" i="7" s="1"/>
  <c r="C38" i="7"/>
  <c r="R38" i="7"/>
  <c r="S38" i="7" s="1"/>
  <c r="J47" i="7"/>
  <c r="H47" i="7"/>
  <c r="I47" i="7" s="1"/>
  <c r="G47" i="7"/>
  <c r="Q266" i="4"/>
  <c r="F39" i="7"/>
  <c r="R39" i="7"/>
  <c r="S39" i="7" s="1"/>
  <c r="D39" i="7"/>
  <c r="E39" i="7" s="1"/>
  <c r="O39" i="7"/>
  <c r="M39" i="7"/>
  <c r="C39" i="7"/>
  <c r="Q39" i="7"/>
  <c r="B39" i="7"/>
  <c r="Q204" i="4"/>
  <c r="Q40" i="7"/>
  <c r="C40" i="7"/>
  <c r="B40" i="7"/>
  <c r="O40" i="7"/>
  <c r="M40" i="7"/>
  <c r="R40" i="7"/>
  <c r="S40" i="7" s="1"/>
  <c r="D40" i="7"/>
  <c r="E40" i="7" s="1"/>
  <c r="F40" i="7"/>
  <c r="B34" i="5"/>
  <c r="B29" i="7"/>
  <c r="C29" i="7"/>
  <c r="F29" i="7"/>
  <c r="B35" i="5"/>
  <c r="H36" i="7"/>
  <c r="I36" i="7" s="1"/>
  <c r="G36" i="7"/>
  <c r="J36" i="7"/>
  <c r="R37" i="7"/>
  <c r="S37" i="7" s="1"/>
  <c r="D37" i="7"/>
  <c r="E37" i="7" s="1"/>
  <c r="Q37" i="7"/>
  <c r="C37" i="7"/>
  <c r="B37" i="7"/>
  <c r="O37" i="7"/>
  <c r="F37" i="7"/>
  <c r="M37" i="7"/>
  <c r="B25" i="5"/>
  <c r="R48" i="7"/>
  <c r="S48" i="7" s="1"/>
  <c r="D48" i="7"/>
  <c r="E48" i="7" s="1"/>
  <c r="Q48" i="7"/>
  <c r="C48" i="7"/>
  <c r="B48" i="7"/>
  <c r="O48" i="7"/>
  <c r="F48" i="7"/>
  <c r="M48" i="7"/>
  <c r="P46" i="7"/>
  <c r="B22" i="5"/>
  <c r="Q231" i="4"/>
  <c r="Q228" i="4"/>
  <c r="H42" i="7" l="1"/>
  <c r="I42" i="7" s="1"/>
  <c r="J42" i="7"/>
  <c r="P45" i="7"/>
  <c r="J31" i="7"/>
  <c r="P47" i="7"/>
  <c r="P36" i="7"/>
  <c r="B13" i="7"/>
  <c r="B14" i="7" s="1"/>
  <c r="B16" i="7" s="1"/>
  <c r="K36" i="7"/>
  <c r="L36" i="7" s="1"/>
  <c r="H28" i="7"/>
  <c r="I28" i="7" s="1"/>
  <c r="J28" i="7"/>
  <c r="K47" i="7"/>
  <c r="L47" i="7" s="1"/>
  <c r="K44" i="7"/>
  <c r="L44" i="7" s="1"/>
  <c r="P48" i="7"/>
  <c r="H41" i="7"/>
  <c r="I41" i="7" s="1"/>
  <c r="P38" i="7"/>
  <c r="P40" i="7"/>
  <c r="J41" i="7"/>
  <c r="P37" i="7"/>
  <c r="P39" i="7"/>
  <c r="P42" i="7"/>
  <c r="J30" i="7"/>
  <c r="G30" i="7"/>
  <c r="P44" i="7"/>
  <c r="P41" i="7"/>
  <c r="G32" i="7"/>
  <c r="J32" i="7"/>
  <c r="K42" i="7"/>
  <c r="L42" i="7" s="1"/>
  <c r="G29" i="7"/>
  <c r="J29" i="7"/>
  <c r="G34" i="7"/>
  <c r="J34" i="7"/>
  <c r="D43" i="5"/>
  <c r="D36" i="5"/>
  <c r="D29" i="5"/>
  <c r="D22" i="5"/>
  <c r="D46" i="5"/>
  <c r="D39" i="5"/>
  <c r="D32" i="5"/>
  <c r="D25" i="5"/>
  <c r="D44" i="5"/>
  <c r="D31" i="5"/>
  <c r="D42" i="5"/>
  <c r="D37" i="5"/>
  <c r="D24" i="5"/>
  <c r="D47" i="5"/>
  <c r="D34" i="5"/>
  <c r="D21" i="5"/>
  <c r="D38" i="5"/>
  <c r="D20" i="5"/>
  <c r="D26" i="5"/>
  <c r="D23" i="5"/>
  <c r="D45" i="5"/>
  <c r="D41" i="5"/>
  <c r="D28" i="5"/>
  <c r="D35" i="5"/>
  <c r="D40" i="5"/>
  <c r="D27" i="5"/>
  <c r="D30" i="5"/>
  <c r="D33" i="5"/>
  <c r="J40" i="7"/>
  <c r="H40" i="7"/>
  <c r="I40" i="7" s="1"/>
  <c r="G40" i="7"/>
  <c r="B15" i="7"/>
  <c r="J37" i="7"/>
  <c r="H37" i="7"/>
  <c r="I37" i="7" s="1"/>
  <c r="G37" i="7"/>
  <c r="J38" i="7"/>
  <c r="G38" i="7"/>
  <c r="H38" i="7"/>
  <c r="I38" i="7" s="1"/>
  <c r="C47" i="5"/>
  <c r="C40" i="5"/>
  <c r="C33" i="5"/>
  <c r="C26" i="5"/>
  <c r="C43" i="5"/>
  <c r="C36" i="5"/>
  <c r="C29" i="5"/>
  <c r="C22" i="5"/>
  <c r="B11" i="5"/>
  <c r="B12" i="5" s="1"/>
  <c r="C46" i="5"/>
  <c r="C39" i="5"/>
  <c r="C32" i="5"/>
  <c r="C25" i="5"/>
  <c r="C44" i="5"/>
  <c r="C37" i="5"/>
  <c r="C30" i="5"/>
  <c r="C23" i="5"/>
  <c r="C42" i="5"/>
  <c r="C24" i="5"/>
  <c r="C41" i="5"/>
  <c r="C28" i="5"/>
  <c r="C38" i="5"/>
  <c r="C20" i="5"/>
  <c r="C35" i="5"/>
  <c r="C34" i="5"/>
  <c r="C21" i="5"/>
  <c r="C27" i="5"/>
  <c r="C45" i="5"/>
  <c r="C31" i="5"/>
  <c r="G48" i="7"/>
  <c r="J48" i="7"/>
  <c r="H48" i="7"/>
  <c r="I48" i="7" s="1"/>
  <c r="G43" i="7"/>
  <c r="H43" i="7"/>
  <c r="I43" i="7" s="1"/>
  <c r="J43" i="7"/>
  <c r="D29" i="7"/>
  <c r="E29" i="7" s="1"/>
  <c r="H39" i="7"/>
  <c r="I39" i="7" s="1"/>
  <c r="G39" i="7"/>
  <c r="J39" i="7"/>
  <c r="D32" i="7"/>
  <c r="E32" i="7" s="1"/>
  <c r="P43" i="7"/>
  <c r="K41" i="7" l="1"/>
  <c r="L41" i="7" s="1"/>
  <c r="K40" i="7"/>
  <c r="L40" i="7" s="1"/>
  <c r="K28" i="7"/>
  <c r="L28" i="7" s="1"/>
  <c r="K37" i="7"/>
  <c r="L37" i="7" s="1"/>
  <c r="K43" i="7"/>
  <c r="L43" i="7" s="1"/>
  <c r="B13" i="5"/>
  <c r="K39" i="7"/>
  <c r="L39" i="7" s="1"/>
  <c r="N35" i="7"/>
  <c r="N46" i="7"/>
  <c r="N32" i="7"/>
  <c r="N43" i="7"/>
  <c r="N29" i="7"/>
  <c r="N40" i="7"/>
  <c r="N37" i="7"/>
  <c r="N48" i="7"/>
  <c r="N42" i="7"/>
  <c r="N28" i="7"/>
  <c r="N41" i="7"/>
  <c r="N38" i="7"/>
  <c r="N44" i="7"/>
  <c r="N47" i="7"/>
  <c r="N34" i="7"/>
  <c r="N39" i="7"/>
  <c r="N31" i="7"/>
  <c r="N33" i="7"/>
  <c r="N30" i="7"/>
  <c r="N36" i="7"/>
  <c r="N45" i="7"/>
  <c r="K48" i="7"/>
  <c r="L48" i="7" s="1"/>
  <c r="K38" i="7"/>
  <c r="L38" i="7" s="1"/>
  <c r="O28" i="7" l="1"/>
  <c r="P28" i="7" s="1"/>
  <c r="Q28" i="7" s="1"/>
  <c r="R28" i="7" s="1"/>
  <c r="S28" i="7" s="1"/>
  <c r="B21" i="7" s="1"/>
  <c r="M29" i="7" l="1"/>
  <c r="H29" i="7"/>
  <c r="I29" i="7" s="1"/>
  <c r="K29" i="7" s="1"/>
  <c r="L29" i="7" s="1"/>
  <c r="B20" i="7"/>
  <c r="O29" i="7" l="1"/>
  <c r="P29" i="7" s="1"/>
  <c r="Q29" i="7" s="1"/>
  <c r="R29" i="7" s="1"/>
  <c r="S29" i="7" s="1"/>
  <c r="H30" i="7" l="1"/>
  <c r="I30" i="7" s="1"/>
  <c r="K30" i="7" s="1"/>
  <c r="L30" i="7" s="1"/>
  <c r="M30" i="7"/>
  <c r="O30" i="7" s="1"/>
  <c r="P30" i="7" s="1"/>
  <c r="Q30" i="7" s="1"/>
  <c r="R30" i="7" s="1"/>
  <c r="S30" i="7" l="1"/>
  <c r="H31" i="7"/>
  <c r="I31" i="7" s="1"/>
  <c r="K31" i="7" s="1"/>
  <c r="L31" i="7" s="1"/>
  <c r="M31" i="7"/>
  <c r="O31" i="7" s="1"/>
  <c r="P31" i="7" s="1"/>
  <c r="Q31" i="7" s="1"/>
  <c r="R31" i="7" s="1"/>
  <c r="S31" i="7" l="1"/>
  <c r="M32" i="7"/>
  <c r="H32" i="7"/>
  <c r="I32" i="7" s="1"/>
  <c r="K32" i="7" s="1"/>
  <c r="L32" i="7" s="1"/>
  <c r="O32" i="7" l="1"/>
  <c r="P32" i="7" s="1"/>
  <c r="Q32" i="7" s="1"/>
  <c r="R32" i="7" s="1"/>
  <c r="S32" i="7" s="1"/>
  <c r="M33" i="7" l="1"/>
  <c r="O33" i="7" s="1"/>
  <c r="P33" i="7" s="1"/>
  <c r="Q33" i="7" s="1"/>
  <c r="R33" i="7" s="1"/>
  <c r="M34" i="7" s="1"/>
  <c r="H33" i="7"/>
  <c r="I33" i="7" s="1"/>
  <c r="K33" i="7" s="1"/>
  <c r="L33" i="7" s="1"/>
  <c r="S33" i="7" l="1"/>
  <c r="H34" i="7"/>
  <c r="I34" i="7" s="1"/>
  <c r="K34" i="7" s="1"/>
  <c r="L34" i="7" s="1"/>
  <c r="O34" i="7" s="1"/>
  <c r="P34" i="7" s="1"/>
  <c r="Q34" i="7" s="1"/>
  <c r="R34" i="7" s="1"/>
  <c r="S34" i="7" l="1"/>
  <c r="H35" i="7"/>
  <c r="I35" i="7" s="1"/>
  <c r="K35" i="7" s="1"/>
  <c r="L35" i="7" s="1"/>
  <c r="M35" i="7"/>
  <c r="O35" i="7" s="1"/>
  <c r="P35" i="7" s="1"/>
  <c r="Q35" i="7" s="1"/>
  <c r="R35" i="7" s="1"/>
  <c r="S35" i="7" s="1"/>
</calcChain>
</file>

<file path=xl/sharedStrings.xml><?xml version="1.0" encoding="utf-8"?>
<sst xmlns="http://schemas.openxmlformats.org/spreadsheetml/2006/main" count="398" uniqueCount="227">
  <si>
    <t>K-State Baseball — Throwing Workload Model</t>
  </si>
  <si>
    <t>Turn distance, throw count, and velocity into one workload number — then use it to plan the next day/week.</t>
  </si>
  <si>
    <t>1. What this workbook does</t>
  </si>
  <si>
    <t>Every throwing set a player does (a round of long toss, a bullpen, flat ground work) gets logged in the Throw Log tab with three inputs: distance, number of throws, and velocity. The model converts distance and velocity into two multipliers — a Distance Factor and an Intensity Factor — and multiplies them by the throw count to get a Set Workload number. Add up a player's daily workload, then track it against his own rolling history (7-day "acute" load vs. 28-day "chronic" load) on the Dashboard tab. The ratio of those two numbers — the Acute:Chronic Workload Ratio, or ACWR — tells you whether today's plan is a safe progression, should hold steady, or needs to back off. The Next Outing Planner tab turns that zone into a day-by-day throwing plan for the week ahead.</t>
  </si>
  <si>
    <t>2. The workload formula</t>
  </si>
  <si>
    <t>Set Workload  =  Number of Throws  ×  Distance Factor  ×  Intensity Factor</t>
  </si>
  <si>
    <t>Distance Factor and Intensity Factor are multiplied as two SEPARATE numbers, not folded into one, because distance is not just a stand-in for velocity — they load the arm somewhat independently. Fleisig's own biomechanics lab compared mound pitching to long toss at several distances and found max-distance throws produced the HIGHEST elbow and shoulder torque of any condition tested — without any increase in ball velocity versus pitching (Fleisig, Bolt, Fortenbaugh, Wilk &amp; Andrews, J Orthop Sports Phys Ther, 2011). Two throws released at the same measured mph are not equally stressful if one of them travels farther: covering extra distance without extra velocity means changing mechanics (more shoulder layback/external rotation, more trunk tilt, a higher looping arc), and it's that changed mechanics — not the number on a radar gun — that loads the joint. The study's authors called max-distance throws “the least efficient” (most torque for the least velocity gained) and recommended capping long toss around 180 ft thrown on a line for that reason. It's also why the interval-throwing-program researchers who built the ACWR model below (Reinold, Dowling, Fleisig, Macrina, Wilk, Streepy &amp; Andrews, Int J Sports Phys Ther, 2024) modeled elbow torque on distance ALONE, not velocity — they found velocity doesn't correlate reliably with torque and varies too much pitcher to pitcher to be a consistent stress proxy, while distance does. (One smaller study found kinetics rising with distance but never exceeding pitching — so treat “does long toss ever exceed mound stress” as a genuinely open question, not settled science.)</t>
  </si>
  <si>
    <t>Intensity Factor scales with how many mph OFF the player's own Avg Top Velo (from the Roster tab) he threw — not a percentage of his single fastest pitch ever recorded. A one-time peak reading is noisy (adrenaline, a favorable radar angle, pure chance); the average of several of his hardest, most competitive readings is a more reliable “100% intent” line, and effort doesn't fall off in a straight percentage as velo drops — the last few mph near the top cost disproportionately more effort than the same few mph do lower down. A fixed mph-below-average gap tracks felt effort much better than a max-velo ratio does. One exception: for Bullpen and Game rows, Distance Factor is replaced by a flat Mound Factor, because the pitching distance never changes (60'6") and a mound delivery loads the arm well beyond what a flat-ground throw at that same short distance would — see the callout on the Reference tab. The exact band values throughout are a coaching model, not a lab-measured constant, and you should feel free to tune them for your staff's eye once you have a season of data to compare against.</t>
  </si>
  <si>
    <t>3. Acute:Chronic Workload Ratio (ACWR)</t>
  </si>
  <si>
    <t>ACWR = (average daily workload over the trailing 7 days) ÷ (average daily workload over the trailing 28 days). It is the same framework Tim Gabbett popularized for injury-workload research (Br J Sports Med, 2016) and that the ASMI group (Reinold, Dowling, Fleisig, et al.) applied directly to pitchers' interval throwing programs, using 0.7–1.3 as the target range and flagging spikes above ~1.5 as high-risk in their workload-based throwing program study (IJSPT, 2024). This workbook uses: below 0.8 = room to progress, 0.8–1.3 = sweet spot, 1.3–1.5 = caution, above 1.5 = high risk. A quick honesty note: ACWR has real critics in the sports-science literature (Windt &amp; Gabbett, 2019) — because the acute week is part of the chronic average, the ratio is mathematically coupled to itself, which can distort it at the extremes. Treat the ACWR zone as one signal among several — combine it with what the player is telling you about arm feel, not as a stand-alone verdict.</t>
  </si>
  <si>
    <t>4. How to use this day to day</t>
  </si>
  <si>
    <t>1) Add every player to the Roster tab with his Avg Top Velo (average of several of his hardest readings, not a single one-time peak — keep the peak too, it's just for reference).   2) After each throwing session, log it as ONE row in Throw Log — the main columns are his working-out segment (whatever distance he built out to, with its own throw count and velo). If he closes the session by working back in at 60' (very common), don't start a second row for it — use the dedicated 60' Throws / 60' Velo columns further right on that SAME row; they're added into that row's Set Workload automatically at the 60' Distance Factor. Game days work the same way but for pregame bullpen warm-up instead: the box-score pitch count leaves out pregame bullpen warm-up and every between-innings/entering warm-up pitch, so use the main columns for live pitches + in-game warm-up pitches, and the dedicated Warmup/Bullpen columns on that same row for whatever he threw getting loose in the pen beforehand. See the callouts on the Reference tab for worked examples of both patterns.   3) Open Dashboard, pick the player, and read his Zone and Guidance for today.   4) Open Next Outing Planner, pick the same player, tell it what he's building toward (a live Game or his next High Bullpen day) and that date — This Week's Plan below fills in automatically for every day between now and then, before a single throw is made, so you can adjust before, not after.   5) Re-check both tabs after each session — the Dashboard zone moves as new data comes in, and Next Outing Planner's plan for the days still ahead nudges itself up or down to match. Once he throws his outing/bullpen day, just update the date to his next one and the whole week regenerates.</t>
  </si>
  <si>
    <t>5. Day Type Templates &amp; Next Outing Planner</t>
  </si>
  <si>
    <t>The Day Type Templates tab gives you 2 worked examples for each of 6 throwing-day categories — Low, Medium, High Non-Bullpen, High Bullpen, Low Bullpen (low-intent mound work), and Game — each broken into segments (distance, throw-count range, mph range) built from the same Distance/Mound Factor and Intensity Factor tables as everywhere else. Every Low/Medium/High Non-Bullpen day finishes at 60 ft working all his pitches; High Bullpen and Game days skip that finish since the mound work already covers it. Pick a Demo Player at the top to see mph ranges for a specific arm — the workload numbers themselves don't change, since they're driven by mph-deficit bands, not any one player's absolute velo.   The Next Outing Planner tab is where the whole model comes together into one weekly plan. Pick a player, what he's building toward (a live Game outing OR his next High Bullpen day — not every guy has a game on the schedule), and that date. Current Status pulls his own trailing 7-day/28-day ACWR and Zone straight from the same math as Dashboard. This Week's Plan then lays out every day between tomorrow and the day before that target, starting from the Periodization Rule table (Reference tab — a default day type by days-until-outing, e.g. bullpen ~3 days out, light the day before) and nudging each day up or down one tier using the MORE CONSERVATIVE of two signals: whether the PRIOR day's actual logged workload (Throw Log) came in more than 20% heavier or lighter than planned, and whether the trailing week's ACWR Zone is already running hot or cold. It never escalates the day immediately before the target, and an upgrade out of Medium defaults to High Non-Bullpen rather than a bullpen day, since going to the mound should be a deliberate schedule choice. There is no separate weekly-planner tab to keep in sync — log each real session in Throw Log as it happens and re-open this tab, and the plan for the days still ahead adjusts itself. Once he throws his outing/bullpen day, just update the date to his next one and the whole week regenerates for the new window. Beyond 5 days out, the plan repeats a 3-day build/compete/recover cycle from the Reference tab instead of flatlining at Low, so a long gap before the next High-Intent Day still has a training rhythm. And if you don't like a day's suggestion, pick a Day Type in that row's Manual Override column (including Low Bullpen, which the plan counts as a Medium-tier day) — everything after it re-plans around your choice exactly the way it would around a real logged session.</t>
  </si>
  <si>
    <t>6. Sources &amp; limits</t>
  </si>
  <si>
    <t>• Gabbett, T. "The training-injury prevention paradox." Br J Sports Med, 2016 — ACWR sweet spot (0.8–1.3) / danger zone (&gt;1.5).
• Reinold, M., Dowling, B., Fleisig, G., Macrina, L., Wilk, K., Streepy, J., Andrews, J. "An Interval Throwing Program for Baseball Pitchers Based upon Workload Data." Int J Sports Phys Ther, 2024 — 238,611 throws (111,196 long-toss) from 34 NCAA D-I pitchers; modeled elbow torque on DISTANCE, not velocity, because velocity didn't correlate reliably with torque pitcher to pitcher; direct precedent for applying 7-day/28-day ACWR to throwing distance/volume data.
• Fleisig, G., Bolt, B., Fortenbaugh, D., Wilk, K., Andrews, J. "Biomechanical Comparison of Baseball Pitching and Long-Toss: Implications for Training and Rehabilitation." J Orthop Sports Phys Ther, 2011 — found max-distance long toss produces the highest elbow/shoulder torque of any condition tested, WITHOUT higher ball velocity than pitching; the basis for treating Distance Factor and Intensity Factor as separate, independent multipliers rather than one folded into the other.
• Driveline Baseball, "Everything Long Toss and Long-Toss Programs" / "Pulldowns" — typical long-toss distance bands and pulldown intensity, used to set this workbook's Distance Factor bands.
• MLB / USA Baseball Pitch Smart guidelines (mlb.com/pitch-smart) — precedent for tying required rest to recent throwing volume.
• Windt, J. &amp; Gabbett, T. "How do training and competition workloads relate to injury? The workload-injury aetiology model," and follow-up critiques — mathematical-coupling limitation of ACWR noted above.
• NCAA Baseball Rules — Appendix F, Pitch/Between-Innings Clock Protocol (2025-26 rules cycle) — 5 warm-up pitches between innings for a continuing pitcher, 8 for a pitcher entering the game; basis for the Game-day throw-count guidance on the Reference tab.
This model is a coaching decision-support tool built from these public frameworks, not a validated medical instrument. It does not replace your athletic trainer, your pitching coach's eye, or what a player tells you about his arm.</t>
  </si>
  <si>
    <t>Reference Tables — Workload Model Constants</t>
  </si>
  <si>
    <t>These drive every formula in Throw Log and Dashboard. Edit values here (not in formulas) to re-tune the model.</t>
  </si>
  <si>
    <t>Distance Factor Table</t>
  </si>
  <si>
    <t>Min Distance (ft)</t>
  </si>
  <si>
    <t>Distance Factor</t>
  </si>
  <si>
    <t>Description</t>
  </si>
  <si>
    <t>Warm-up / catch play (≤60 ft)</t>
  </si>
  <si>
    <t>Building distance (61–90 ft)</t>
  </si>
  <si>
    <t>Extension / stretch (91–120 ft)</t>
  </si>
  <si>
    <t>Long toss (121–150 ft)</t>
  </si>
  <si>
    <t>Max long toss (151–180 ft)</t>
  </si>
  <si>
    <t>Pulldowns / max distance (181+ ft)</t>
  </si>
  <si>
    <t>Intensity Factor Table (based on mph BELOW player's Avg Top Velo — not % of a single peak pitch)</t>
  </si>
  <si>
    <t>Effort doesn't fall off in a straight line as velo drops — near your top end, a couple mph off costs a lot more effort than the same couple mph do when you're playing catch. So this compares the throw's velo to the player's AVG top velo (Roster tab) as a flat mph gap, not a percentage of his single best-ever pitch. Uses the midpoint of the Velo Low–High range entered in Throw Log.</t>
  </si>
  <si>
    <t>Min Deficit (mph below Avg Top Velo)</t>
  </si>
  <si>
    <t>Intensity Factor</t>
  </si>
  <si>
    <t>Max effort — at or near Avg Top Velo (about 0–3 mph off)</t>
  </si>
  <si>
    <t>Compete / high intent (about 4–6 mph off)</t>
  </si>
  <si>
    <t>Building (about 7–9 mph off)</t>
  </si>
  <si>
    <t>Easy / recovery catch (10+ mph off)</t>
  </si>
  <si>
    <t>ACWR Zone Thresholds</t>
  </si>
  <si>
    <t>Min ACWR</t>
  </si>
  <si>
    <t>Zone</t>
  </si>
  <si>
    <t>Guidance</t>
  </si>
  <si>
    <t>Undertrained</t>
  </si>
  <si>
    <t>Below 0.8 — there is room to progress distance/intensity next session.</t>
  </si>
  <si>
    <t>Sweet Spot</t>
  </si>
  <si>
    <t>0.8–1.3 — ideal loading zone; maintain the planned progression.</t>
  </si>
  <si>
    <t>Caution</t>
  </si>
  <si>
    <t>1.3–1.5 — hold volume/intensity flat; add a recovery day this week.</t>
  </si>
  <si>
    <t>High Risk</t>
  </si>
  <si>
    <t>Above 1.5 — mandatory easy/rest day next session; cut weekly volume 20–30%.</t>
  </si>
  <si>
    <t>Session Types (Throw Log dropdown list)</t>
  </si>
  <si>
    <t>No Throw</t>
  </si>
  <si>
    <t>Long Toss</t>
  </si>
  <si>
    <t>Compression/Pulldowns</t>
  </si>
  <si>
    <t>Bullpen</t>
  </si>
  <si>
    <t>Moderate</t>
  </si>
  <si>
    <t>Game</t>
  </si>
  <si>
    <t>Recovery/Easy Catch</t>
  </si>
  <si>
    <t>Throw Rate by Session Type (throws/minute — used to estimate throw count from clock time)</t>
  </si>
  <si>
    <t>Timing a whole staff is far more practical than counting every throw. Log Start/End time in Throw Log and it estimates throw count as Duration × this rate. These are starting assumptions, not measured constants — clock a few reps of your own guys and tune them here. For a rehab player or anyone you CAN count exactly, just type the real number into Actual Throw Count in Throw Log and it overrides the time estimate automatically.</t>
  </si>
  <si>
    <t>Session Type</t>
  </si>
  <si>
    <t>Throw Rate (throws/min)</t>
  </si>
  <si>
    <t>Why</t>
  </si>
  <si>
    <t>Slower — ball travel + retrieval time grows with distance</t>
  </si>
  <si>
    <t>High effort throws need more recovery between reps</t>
  </si>
  <si>
    <t>Reset, mechanics cues, and coach feedback between pitches</t>
  </si>
  <si>
    <t>Moderate tempo, minimal reset time</t>
  </si>
  <si>
    <t>Use actual pitch count, not a time estimate</t>
  </si>
  <si>
    <t>Quick, low-effort tempo</t>
  </si>
  <si>
    <t>Callout: Logging a Long Toss Round (working back vs. working in)</t>
  </si>
  <si>
    <t>A long-toss exchange is really two different phases, and they should be two different rows — not one row with a total throw count. Working BACK means stretching out: distance is climbing, effort is relatively low (~50–70%), throws arc more. Working IN means compression: distance is shrinking, effort is high (~80–100%), throws are thrown flatter/harder. Same throw count, very different stress, so one distance/intensity per row keeps the workload number honest.
Worked example — a player stretches out to 150 ft and works back in to 90 ft:
Row 1: Session Type “Long Toss,” Distance = 150 ft (the farthest point reached), Velo ≈ his easy long-toss velo, time the whole working-back phase (e.g. 9:00–9:10).
Row 2: Session Type “Compression/Pulldowns,” Distance = 90 ft (the working-in distance), Velo ≈ his harder working-in velo, time just that phase (e.g. 9:10–9:16).
If he pauses at a few distinct stops on the way out (say 90, then 120, then 150) and you can time each stop separately, splitting into more rows is more accurate — but two rows (back / in) is the practical minimum and is what the throw-rate table above is built around.</t>
  </si>
  <si>
    <t>Mound Factor (Bullpen &amp; Game — used INSTEAD of Distance Factor)</t>
  </si>
  <si>
    <t>Distance doesn't belong in the formula for mound work. The pitching distance is fixed (60'6"), so a distance lookup would score a bullpen the same as easy 60 ft catch play — which is backwards: a mound delivery (full leg drive, hip-shoulder separation, breaking-ball spin) loads the arm well above a flat-ground throw at that same short distance. That's exactly why Fleisig/ASMI built their distance-workload model from flat-ground throws only, and why pitch counts (Pitch Smart) have always been tracked separately from throwing-distance programs — mound work is its own category of stress, not a point on the distance curve. So for Session Type “Bullpen” or “Game,” the model ignores the Distance (ft) column entirely and uses a flat Mound Factor instead — leave Distance blank on those rows (or note 60.5 for your own records, it won't be used). Warming up before the pen is real long-toss stress and should still be its own “Long Toss” row using the distance table, same as any other long-toss set — only the mound reps themselves switch to the Mound Factor.</t>
  </si>
  <si>
    <t>Mound Factor</t>
  </si>
  <si>
    <t>Full mound mechanics + pitch mix (including breaking balls) load the arm well above a flat-ground throw, even at moderate velo</t>
  </si>
  <si>
    <t>Same mound mechanics plus in-game adrenaline/competition and less controlled pacing than a bullpen</t>
  </si>
  <si>
    <t>Callout: Logging a Game Outing (the official pitch count undercounts the real mound stress)</t>
  </si>
  <si>
    <t>The scoreboard/box-score pitch count only tallies pitches thrown to a batter — it leaves out every warm-up throw around it, and those are real mound-intensity throws too. Under current NCAA rules, a pitcher gets 5 warm-up pitches between innings if he's staying in, and 8 warm-up pitches when he enters the game (start of an inning or mid-inning) — on top of whatever he threw getting loose in the bullpen before he was ever called for. A game day still gets ONE row in Throw Log — use the Warmup/Bullpen columns (R–T) on that same row instead of a second row:
Main columns (H–L), Session Type “Game”: Actual Throw Count = his official pitches PLUS his warm-up pitches for the outing itself (8 if he entered fresh, +5 for every additional inning he continued) — this segment is scored at the Game Mound Factor.
Warmup/Bullpen columns (R–T), same row: Throws = however many he threw getting loose in the pen before entering (a bullpen catcher always has this exact number) with its own velo range — this segment is always scored at the Bullpen Mound Factor, whatever the row's Session Type is. Set Workload (column Q) adds both segments together automatically.
Worked example — an 18-pitch relief outing (entered fresh, one inning, no carryover): one “Game” row with H=26 (8 entering warm-up + 18 live, at the 3.2 Game Mound Factor) and R=18 (pen warm-up before he was called on, at the 3.0 Bullpen Mound Factor). At similar intensity, that one row runs well above a 25-pitch stand-alone bullpen. Logged as just “18 pitches” with nothing in R, it doesn't — not because the model is wrong, but because 18 was never the whole story.</t>
  </si>
  <si>
    <t>Periodization Rule — Default Day Type by Days Until Next High-Intent Day</t>
  </si>
  <si>
    <t>A starting-point schedule for the Next Outing Planner tab: given how many days away a player's next High-Intent Day is — a live Game outing, OR his next High Bullpen day for a guy without a game on the schedule — this is the default Day Type it plans for, before any adjustment for what he actually did the day before or how his trailing week's ACWR is running. This is a coaching judgment call, not a measured constant — tune the Default Day Type column for your own program's rhythm (e.g. a reliever who can pitch on back-to-back days needs a very different rule than a weekend starter).</t>
  </si>
  <si>
    <t>Days Until Outing</t>
  </si>
  <si>
    <t>Default Day Type</t>
  </si>
  <si>
    <t>The High-Intent Day itself — fixed by the schedule (Game or High Bullpen), not a training choice.</t>
  </si>
  <si>
    <t>Low</t>
  </si>
  <si>
    <t>Day before he pitches: stay loose and protect freshness — never build here.</t>
  </si>
  <si>
    <t>Medium</t>
  </si>
  <si>
    <t>Two days out: moderate catch play while yesterday's work clears.</t>
  </si>
  <si>
    <t>High Bullpen</t>
  </si>
  <si>
    <t>Classic starter bullpen day — enough runway to recover before the next outing.</t>
  </si>
  <si>
    <t>Build day — moderate long toss/pulldowns, not yet max effort.</t>
  </si>
  <si>
    <t>Start of taper week: 5 days out, base/recovery work before the build back up.</t>
  </si>
  <si>
    <t>Far-Out Build Cycle (repeats when more than 5 days from the next High-Intent Day)</t>
  </si>
  <si>
    <t>The taper table above only covers the last 5 days before your High-Intent Day. Beyond that, instead of flatlining at "Low" for the whole gap (which left long stretches with no training stimulus), Next Outing Planner cycles through this 3-day rhythm — build, compete, recover — repeating until the taper window starts. No day type repeats two days in a row. Tune this table the same way as the taper table above.</t>
  </si>
  <si>
    <t>Cycle Position (days-6) MOD 3</t>
  </si>
  <si>
    <t>Day Type</t>
  </si>
  <si>
    <t>Build day in the repeating base cycle.</t>
  </si>
  <si>
    <t>High Non-Bullpen</t>
  </si>
  <si>
    <t>Compete/high-intent day in the repeating base cycle.</t>
  </si>
  <si>
    <t>Recovery day in the repeating base cycle — spaced so it never lands two days running.</t>
  </si>
  <si>
    <t>Roster — Velocity Reference</t>
  </si>
  <si>
    <t>Blue cells = edit these. Add every player who throws. Avg Top Velo (not Peak Velo) drives the Intensity Factor in Throw Log — it's the average of several of his hardest, most competitive readings (a max-effort bullpen, his best few readings across recent outings), not the single fastest pitch he's ever thrown. A one-time peak is noisy; an average of his real top gear is a more reliable “100% intent” line. Peak Velo is kept for reference only and isn't used in any calculation.</t>
  </si>
  <si>
    <t>Player Name</t>
  </si>
  <si>
    <t>Position/Role</t>
  </si>
  <si>
    <t>Peak Velo (mph)
(reference only)</t>
  </si>
  <si>
    <t>Avg Top Velo (mph)
(used in calc)</t>
  </si>
  <si>
    <t>Notes</t>
  </si>
  <si>
    <t>Adam Arther</t>
  </si>
  <si>
    <t>LHP</t>
  </si>
  <si>
    <t>Throw Log</t>
  </si>
  <si>
    <t>One row per throwing SET for most sessions (e.g. a long-toss step, a round of pulldowns). For the whole staff, log Start/End Time — throw count is estimated from that segment's pace (Reference tab); for a rehab guy or a bullpen (easy to count exactly), put the real number in Actual Throw Count and it overrides the time estimate. Enter Velo as a range (Velo Low–High, e.g. 70–74) — the midpoint is used for the calc. For Session Type “Bullpen” or “Game,” leave Distance blank — mound work uses a flat Mound Factor instead (Reference tab). GAME DAYS get ONE row, not two: fill columns H–L for the live outing (pitches + entering/between-innings warm-up, per the Reference callout) and use the Warmup/Bullpen columns (R–T) on that SAME row for whatever he threw getting loose in the pen beforehand — it's added into that row's Set Workload automatically at the Bullpen Mound Factor. Any day that closes by working back in at 60' gets the same treatment: use the 60' Throws / 60' Velo columns (X–Z) on that same row instead of a second row — they're added in at the flat 60' Distance Factor. Blue cells = your input; everything else calculates automatically.</t>
  </si>
  <si>
    <t>Date</t>
  </si>
  <si>
    <t>Player</t>
  </si>
  <si>
    <t>Distance (ft)
(n/a for Bullpen/Game)</t>
  </si>
  <si>
    <t>Start Time</t>
  </si>
  <si>
    <t>End Time</t>
  </si>
  <si>
    <t>Duration (min)</t>
  </si>
  <si>
    <t>Actual Throw Count
(optional override)</t>
  </si>
  <si>
    <t>Throws Used in Calc</t>
  </si>
  <si>
    <t>Velo Low (mph)</t>
  </si>
  <si>
    <t>Velo High (mph)</t>
  </si>
  <si>
    <t>Velo Mid (mph)</t>
  </si>
  <si>
    <t>Player Avg Top Velo</t>
  </si>
  <si>
    <t>Velo Deficit (mph below avg)</t>
  </si>
  <si>
    <t>Distance/Mound Factor</t>
  </si>
  <si>
    <t>Set Workload
(main + warmup + 60')</t>
  </si>
  <si>
    <t>Warmup/Bullpen Throws
(same day, optional)</t>
  </si>
  <si>
    <t>Warmup Velo Low</t>
  </si>
  <si>
    <t>Warmup Velo High</t>
  </si>
  <si>
    <t>Warmup Velo Mid</t>
  </si>
  <si>
    <t>Warmup Deficit</t>
  </si>
  <si>
    <t>Warmup Intensity Factor</t>
  </si>
  <si>
    <t>60' Throws
(working back in, optional)</t>
  </si>
  <si>
    <t>60' Velo Low</t>
  </si>
  <si>
    <t>60' Velo High</t>
  </si>
  <si>
    <t>60' Velo Mid</t>
  </si>
  <si>
    <t>60' Deficit</t>
  </si>
  <si>
    <t>60' Intensity Factor</t>
  </si>
  <si>
    <t>Notes (arm feel, RPE, etc.)</t>
  </si>
  <si>
    <t>Timed the whole group together</t>
  </si>
  <si>
    <t>WORKING BACK — stretching out to 150 ft, easy effort, estimated from time</t>
  </si>
  <si>
    <t>WORKING IN — compression at 90 ft; radar-gunned so exact count overrides the time estimate</t>
  </si>
  <si>
    <t>Rehab example: exact count, no time logged</t>
  </si>
  <si>
    <t>25 pitches off the mound — Distance left blank; Mound Factor is used automatically</t>
  </si>
  <si>
    <t>GAME DAY — ONE row: 18 live pitches + 8 entering warm-up = 26 in cols H-K, PLUS 18 pen warm-up throws before he was called on in cols R-T. Set Workload (col Q) folds both in automatically.</t>
  </si>
  <si>
    <t>Dashboard — Player Workload Status</t>
  </si>
  <si>
    <t>Pick a player and a date. Everything below recalculates from the Throw Log automatically.</t>
  </si>
  <si>
    <t>Select Player:</t>
  </si>
  <si>
    <t>As Of Date:</t>
  </si>
  <si>
    <t>Workload Status</t>
  </si>
  <si>
    <t>Today's Workload</t>
  </si>
  <si>
    <t>Acute Workload (7-day avg/day)</t>
  </si>
  <si>
    <t>Chronic Workload (28-day avg/day)</t>
  </si>
  <si>
    <t>ACWR (Acute ÷ Chronic)</t>
  </si>
  <si>
    <t>Spike Check: Today ÷ Chronic Daily Avg</t>
  </si>
  <si>
    <t>Spike Flag</t>
  </si>
  <si>
    <t>28-Day Trend (feeds the chart below)</t>
  </si>
  <si>
    <t>Daily Workload</t>
  </si>
  <si>
    <t>Acute (7d avg line)</t>
  </si>
  <si>
    <t>Chronic (28d avg line)</t>
  </si>
  <si>
    <t>Day Type Templates</t>
  </si>
  <si>
    <t>Every throwing day falls into one of six categories: Low, Medium, High Non-Bullpen, High Bullpen, Low Bullpen, or Game. Below are 2 worked examples for each — distance, throw-count range, and mph range (below), built from the same Distance/Mound Factor and Intensity Factor tables used everywhere else in this workbook. Every Low/Medium/High Non-Bullpen day finishes by coming back to 60 ft to work all his pitches; High Bullpen and Game days don't need that finish — the mound work already covers his pitches.</t>
  </si>
  <si>
    <t>Demo Player:</t>
  </si>
  <si>
    <t>Avg Top Velo (mph):</t>
  </si>
  <si>
    <t>The mph ranges below are only a DISPLAY of this player's numbers — the workload math runs entirely on distance and mph-deficit, so it's identical for every player. Change the Demo Player to see anyone else's actual velo targets for the same template.</t>
  </si>
  <si>
    <t>Segment Detail — 2 worked examples per category</t>
  </si>
  <si>
    <t>Deficit = mph below Avg Top Velo (same bands as the Intensity Factor table on the Reference tab: 0-3=max effort, 4-6=compete, 7-9=building, 10+=easy/recovery). Distance is blank for Bullpen/Game segments — those use the flat Mound Factor instead, same as Throw Log.</t>
  </si>
  <si>
    <t>Category</t>
  </si>
  <si>
    <t>Example #</t>
  </si>
  <si>
    <t>Segment #</t>
  </si>
  <si>
    <t>Segment Type</t>
  </si>
  <si>
    <t>Distance (ft)
(blank = mound)</t>
  </si>
  <si>
    <t>Throws Low</t>
  </si>
  <si>
    <t>Throws High</t>
  </si>
  <si>
    <t>Throws Mid</t>
  </si>
  <si>
    <t>Deficit Low</t>
  </si>
  <si>
    <t>Deficit High</t>
  </si>
  <si>
    <t>Deficit Mid</t>
  </si>
  <si>
    <t>Dist./Mound Factor</t>
  </si>
  <si>
    <t>Projected Segment Workload</t>
  </si>
  <si>
    <t>Flat Ground</t>
  </si>
  <si>
    <t>Low Bullpen</t>
  </si>
  <si>
    <t>Low Bullpen = low-intent mound work (touch-and-feel / feel pen, about 7-12 mph under Avg Top Velo). Scored with the same Mound Factor as any bullpen - the lower Intensity Factor is what keeps its workload near a Medium day.</t>
  </si>
  <si>
    <t>Template Summary — Total Projected Workload &amp; Plan Description</t>
  </si>
  <si>
    <t>Total Projected Workload</t>
  </si>
  <si>
    <t>Segment Plan</t>
  </si>
  <si>
    <t>Day Type Quick Reference (used by Next Outing Planner)</t>
  </si>
  <si>
    <t>Avg Projected Workload is the average of the 2 examples above — and, because workload is driven by deficit bands (not absolute mph), it's the same number no matter which player is picked as Demo Player.</t>
  </si>
  <si>
    <t>Avg Projected Workload</t>
  </si>
  <si>
    <t>Representative Plan (Example 1)</t>
  </si>
  <si>
    <t>Next Outing Planner</t>
  </si>
  <si>
    <t>Pick a player, what he's building toward (a live Game outing or his next High Bullpen day), and that date. Below, This Week's Plan lays out every day between now and then — starting from the Periodization Rule on the Reference tab (a 3-day build/compete/recover cycle repeats for anything more than 5 days out, so a long gap doesn't flatline at Low), then nudging up or down one tier for three things: how his ACTUAL logged workload (Throw Log) compared to what was planned the day before, whether the PRIOR day ended up on a harder or easier tier than its own baseline (this is what makes a Manual Override cascade), and whether his trailing 7-day/28-day ACWR (right below) is already running hot or cold. Don't like a day's suggestion? Pick a Day Type in that row's Manual Override column — every day after it re-plans around your override immediately, even before it's actually been thrown. Log each real session in Throw Log as it happens and re-open this tab — the plan for the days still ahead keeps adjusting itself. Once he throws his outing/bullpen day, just update the date above to his NEXT one and this whole tab regenerates for the new week — nothing to clear by hand.</t>
  </si>
  <si>
    <t>Player:</t>
  </si>
  <si>
    <t>Next High-Intent Day Type:</t>
  </si>
  <si>
    <t>Next High-Intent Day Date:</t>
  </si>
  <si>
    <t>Today's Date:</t>
  </si>
  <si>
    <t>Player's Avg Top Velo:</t>
  </si>
  <si>
    <t>Current Status — Last 7 / Last 28 Days (this player, as of Today's Date)</t>
  </si>
  <si>
    <t>Zone-Based Adjustment (used below)</t>
  </si>
  <si>
    <t>A hot or cautious trailing week caps how far This Week's Plan can escalate (-1 tier); an undertrained week only allows an EXTRA upgrade if yesterday's actual session also came in light — see the Combined Adjustment column below.</t>
  </si>
  <si>
    <t>Quick Glance</t>
  </si>
  <si>
    <t>Tomorrow's Date:</t>
  </si>
  <si>
    <t>Tomorrow's Recommended Day Type:</t>
  </si>
  <si>
    <t>Tomorrow's Suggested Plan:</t>
  </si>
  <si>
    <t>Outing/Bullpen Day Plan:</t>
  </si>
  <si>
    <t>If Game — Planned Pitches:</t>
  </si>
  <si>
    <t>Planned Innings:</t>
  </si>
  <si>
    <t>Velo and exact pitch count in a live game aren't something you can plan or predict game to game — enter what you're calling for here instead. Ignored for High Bullpen / Low Bullpen, where the auto-generated plan below still applies.</t>
  </si>
  <si>
    <t>This Week's Plan — Tomorrow Through the Day Before the Next High-Intent Day</t>
  </si>
  <si>
    <t>Baseline Day Type comes from the Periodization Rule table on the Reference tab (days until your next High-Intent Day, clamped at 5+, cycling through a build/compete/recover rhythm beyond that) — unless you've set a Manual Override on that day, in which case Baseline Day Type just shows your override instead. Pick "(none)" in that same dropdown to clear it and fall back to the algorithm's own pick. If the PRIOR day ended up on a harder or easier tier than ITS OWN untouched algorithmic baseline — a earlier cascaded adjustment — that Prior-Day Plan Shift decides today's Combined Adjustment on its own, in whichever direction it points, immediately, even before that prior day is actually thrown. With no such deviation, Combined Adjustment instead blends two signals: Prior-Day Adjustment (was the PRIOR day's actual logged workload &gt;20% heavier or lighter than what was planned for it) and the Zone-Based Adjustment above (is the trailing week already hot or cold) — either alone can trigger a downgrade, but an upgrade needs both to agree. The day immediately before your High-Intent Day can only be downgraded, never escalated. An upgrade out of Medium defaults to High Non-Bullpen (a bullpen day should be a deliberate schedule choice, not a reaction to one big session). This table — and Quick Glance above — recalculates automatically the moment you change Player, Next High-Intent Day Date/Type, Today's Date, or a Manual Override, and as new sessions are logged in Throw Log.</t>
  </si>
  <si>
    <t>Day</t>
  </si>
  <si>
    <t>Days Until
Outing</t>
  </si>
  <si>
    <t>Baseline
Day Type</t>
  </si>
  <si>
    <t>Baseline
Tier #</t>
  </si>
  <si>
    <t>Prior
Date</t>
  </si>
  <si>
    <t>Prior Days
Until Outing</t>
  </si>
  <si>
    <t>Prior Baseline
Day Type</t>
  </si>
  <si>
    <t>Prior Planned
Workload</t>
  </si>
  <si>
    <t>Prior Actual
Workload</t>
  </si>
  <si>
    <t>Actual/
Planned Ratio</t>
  </si>
  <si>
    <t>Prior-Day
Adjustment</t>
  </si>
  <si>
    <t>Prior-Day
Plan Shift</t>
  </si>
  <si>
    <t>Zone-Based
Adjustment</t>
  </si>
  <si>
    <t>Combined
Adjustment</t>
  </si>
  <si>
    <t>Clamped
Adjustment</t>
  </si>
  <si>
    <t>Final
Tier #</t>
  </si>
  <si>
    <t>Final
Day Type</t>
  </si>
  <si>
    <t>Suggested Plan (Example 1)</t>
  </si>
  <si>
    <t>Manual Override
(optional)</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</si>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</sst>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
  </numFmts>
  <fonts count="11" x14ac:knownFonts="1">
    <font>
      <sz val="11"/>
      <color theme="1"/>
      <name val="Calibri"/>
      <family val="2"/>
      <charset val="1"/>
    </font>
    <font>
      <b/>
      <sz val="16"/>
      <color rgb="FF1F3864"/>
      <name val="Arial"/>
      <family val="2"/>
      <charset val="1"/>
    </font>
    <font>
      <i/>
      <sz val="10"/>
      <color rgb="FF595959"/>
      <name val="Arial"/>
      <family val="2"/>
      <charset val="1"/>
    </font>
    <font>
      <b/>
      <sz val="12"/>
      <color rgb="FF1F3864"/>
      <name val="Arial"/>
      <family val="2"/>
      <charset val="1"/>
    </font>
    <font>
      <sz val="10"/>
      <name val="Arial"/>
      <family val="2"/>
      <charset val="1"/>
    </font>
    <font>
      <b/>
      <sz val="11"/>
      <name val="Arial"/>
      <family val="2"/>
      <charset val="1"/>
    </font>
    <font>
      <b/>
      <sz val="10"/>
      <color rgb="FFFFFFFF"/>
      <name val="Arial"/>
      <family val="2"/>
      <charset val="1"/>
    </font>
    <font>
      <sz val="10"/>
      <color rgb="FF0000FF"/>
      <name val="Arial"/>
      <family val="2"/>
      <charset val="1"/>
    </font>
    <font>
      <sz val="10"/>
      <color rgb="FF000000"/>
      <name val="Arial"/>
      <family val="2"/>
      <charset val="1"/>
    </font>
    <font>
      <b/>
      <sz val="11"/>
      <color rgb="FF2E5395"/>
      <name val="Arial"/>
      <family val="2"/>
      <charset val="1"/>
    </font>
    <font>
      <b/>
      <sz val="10"/>
      <name val="Arial"/>
      <family val="2"/>
      <charset val="1"/>
    </font>
  </fonts>
  <fills count="5">
    <fill>
      <patternFill patternType="none"/>
    </fill>
    <fill>
      <patternFill patternType="gray125"/>
    </fill>
    <fill>
      <patternFill patternType="solid">
        <fgColor rgb="FFD9E2F3"/>
        <bgColor rgb="FFD9D9D9"/>
      </patternFill>
    </fill>
    <fill>
      <patternFill patternType="solid">
        <fgColor rgb="FF1F3864"/>
        <bgColor rgb="FF333333"/>
      </patternFill>
    </fill>
    <fill>
      <patternFill patternType="solid">
        <fgColor rgb="FFFFF2CC"/>
        <b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8" fillId="0" borderId="1" xfId="0" applyFont="1" applyBorder="1" applyAlignment="1">
      <alignment vertical="top" wrapText="1"/>
    </xf>
    <xf numFmtId="0" fontId="7" fillId="4" borderId="1" xfId="0" applyFont="1" applyFill="1" applyBorder="1"/>
    <xf numFmtId="0" fontId="4" fillId="0" borderId="1" xfId="0" applyFont="1" applyBorder="1" applyAlignment="1">
      <alignment vertical="top" wrapText="1"/>
    </xf>
    <xf numFmtId="0" fontId="4" fillId="0" borderId="0" xfId="0" applyFont="1" applyAlignment="1">
      <alignment vertical="top" wrapText="1"/>
    </xf>
    <xf numFmtId="0" fontId="3" fillId="2" borderId="0" xfId="0" applyFont="1" applyFill="1"/>
    <xf numFmtId="0" fontId="2" fillId="0" borderId="0" xfId="0" applyFont="1"/>
    <xf numFmtId="0" fontId="5" fillId="0" borderId="0" xfId="0" applyFont="1" applyAlignment="1">
      <alignment vertical="top" wrapText="1"/>
    </xf>
    <xf numFmtId="0" fontId="6" fillId="3" borderId="1" xfId="0" applyFont="1" applyFill="1" applyBorder="1" applyAlignment="1">
      <alignment horizontal="center" vertical="center" wrapText="1"/>
    </xf>
    <xf numFmtId="0" fontId="7" fillId="0" borderId="1" xfId="0" applyFont="1" applyBorder="1"/>
    <xf numFmtId="0" fontId="4" fillId="0" borderId="1" xfId="0" applyFont="1" applyBorder="1"/>
    <xf numFmtId="0" fontId="4" fillId="0" borderId="0" xfId="0" applyFont="1"/>
    <xf numFmtId="0" fontId="2" fillId="0" borderId="1" xfId="0" applyFont="1" applyBorder="1"/>
    <xf numFmtId="14" fontId="7" fillId="0" borderId="1" xfId="0" applyNumberFormat="1" applyFont="1" applyBorder="1"/>
    <xf numFmtId="18" fontId="7" fillId="0" borderId="1" xfId="0" applyNumberFormat="1" applyFont="1" applyBorder="1"/>
    <xf numFmtId="164" fontId="8" fillId="0" borderId="1" xfId="0" applyNumberFormat="1" applyFont="1" applyBorder="1"/>
    <xf numFmtId="0" fontId="0" fillId="0" borderId="1" xfId="0" applyBorder="1"/>
    <xf numFmtId="0" fontId="8" fillId="0" borderId="1" xfId="0" applyFont="1" applyBorder="1"/>
    <xf numFmtId="18" fontId="0" fillId="0" borderId="1" xfId="0" applyNumberFormat="1" applyBorder="1"/>
    <xf numFmtId="14" fontId="0" fillId="0" borderId="1" xfId="0" applyNumberFormat="1" applyBorder="1"/>
    <xf numFmtId="0" fontId="9" fillId="0" borderId="0" xfId="0" applyFont="1"/>
    <xf numFmtId="14" fontId="7" fillId="4" borderId="1" xfId="0" applyNumberFormat="1" applyFont="1" applyFill="1" applyBorder="1"/>
    <xf numFmtId="0" fontId="9" fillId="0" borderId="1" xfId="0" applyFont="1" applyBorder="1"/>
    <xf numFmtId="2" fontId="5" fillId="0" borderId="1" xfId="0" applyNumberFormat="1" applyFont="1" applyBorder="1"/>
    <xf numFmtId="0" fontId="5" fillId="0" borderId="1" xfId="0" applyFont="1" applyBorder="1"/>
    <xf numFmtId="2" fontId="8" fillId="0" borderId="0" xfId="0" applyNumberFormat="1" applyFont="1"/>
    <xf numFmtId="165" fontId="8" fillId="0" borderId="1" xfId="0" applyNumberFormat="1" applyFont="1" applyBorder="1"/>
    <xf numFmtId="14" fontId="8" fillId="0" borderId="1" xfId="0" applyNumberFormat="1" applyFont="1" applyBorder="1"/>
    <xf numFmtId="2" fontId="8" fillId="0" borderId="1" xfId="0" applyNumberFormat="1" applyFont="1" applyBorder="1"/>
    <xf numFmtId="0" fontId="1" fillId="0" borderId="0" xfId="0" applyFont="1"/>
    <xf numFmtId="0" fontId="2" fillId="0" borderId="0" xfId="0" applyFont="1" applyAlignment="1">
      <alignment vertical="top" wrapText="1"/>
    </xf>
    <xf numFmtId="0" fontId="3" fillId="2" borderId="0" xfId="0" applyFont="1" applyFill="1"/>
    <xf numFmtId="0" fontId="4" fillId="0" borderId="0" xfId="0" applyFont="1" applyAlignment="1">
      <alignment vertical="top" wrapText="1"/>
    </xf>
    <xf numFmtId="0" fontId="2" fillId="0" borderId="0" xfId="0" applyFont="1"/>
    <xf numFmtId="0" fontId="4" fillId="0" borderId="1" xfId="0" applyFont="1" applyBorder="1" applyAlignment="1">
      <alignment vertical="top" wrapText="1"/>
    </xf>
    <xf numFmtId="0" fontId="10" fillId="0" borderId="0" xfId="0" applyFont="1"/>
    <xf numFmtId="0" fontId="8" fillId="0" borderId="1" xfId="0" applyFont="1" applyBorder="1" applyAlignment="1">
      <alignment vertical="top" wrapText="1"/>
    </xf>
    <xf numFmtId="0" fontId="7" fillId="4" borderId="1" xfId="0" applyFont="1" applyFill="1" applyBorder="1"/>
    <xf numFmtId="0" fontId="3" fillId="0" borderId="1" xfId="0" applyFont="1" applyBorder="1"/>
  </cellXfs>
  <cellStyles count="1">
    <cellStyle name="Normal" xfId="0" builtinId="0"/>
  </cellStyles>
  <dxfs count="9">
    <dxf>
      <fill>
        <patternFill>
          <bgColor rgb="FFF8CBAD"/>
        </patternFill>
      </fill>
    </dxf>
    <dxf>
      <fill>
        <patternFill>
          <bgColor rgb="FFFFE699"/>
        </patternFill>
      </fill>
    </dxf>
    <dxf>
      <fill>
        <patternFill>
          <bgColor rgb="FFBDD7EE"/>
        </patternFill>
      </fill>
    </dxf>
    <dxf>
      <fill>
        <patternFill>
          <bgColor rgb="FFC6E0B4"/>
        </patternFill>
      </fill>
    </dxf>
    <dxf>
      <fill>
        <patternFill>
          <bgColor rgb="FFF8CBAD"/>
        </patternFill>
      </fill>
    </dxf>
    <dxf>
      <fill>
        <patternFill>
          <bgColor rgb="FFF8CBAD"/>
        </patternFill>
      </fill>
    </dxf>
    <dxf>
      <fill>
        <patternFill>
          <bgColor rgb="FFFFE699"/>
        </patternFill>
      </fill>
    </dxf>
    <dxf>
      <fill>
        <patternFill>
          <bgColor rgb="FFBDD7EE"/>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0B4"/>
      <rgbColor rgb="FFFFE699"/>
      <rgbColor rgb="FF99CCFF"/>
      <rgbColor rgb="FFFF99CC"/>
      <rgbColor rgb="FFCC99FF"/>
      <rgbColor rgb="FFF8CBAD"/>
      <rgbColor rgb="FF4A7EBB"/>
      <rgbColor rgb="FF33CCCC"/>
      <rgbColor rgb="FF98B855"/>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Daily Workload vs. Acute/Chronic Average</a:t>
            </a:r>
          </a:p>
        </c:rich>
      </c:tx>
      <c:overlay val="0"/>
      <c:spPr>
        <a:noFill/>
        <a:ln w="0">
          <a:noFill/>
        </a:ln>
      </c:spPr>
    </c:title>
    <c:autoTitleDeleted val="0"/>
    <c:plotArea>
      <c:layout/>
      <c:lineChart>
        <c:grouping val="standard"/>
        <c:varyColors val="0"/>
        <c:ser>
          <c:idx val="0"/>
          <c:order val="0"/>
          <c:tx>
            <c:strRef>
              <c:f>Dashboard!$B$19</c:f>
              <c:strCache>
                <c:ptCount val="1"/>
                <c:pt idx="0">
                  <c:v>Daily Workload</c:v>
                </c:pt>
              </c:strCache>
            </c:strRef>
          </c:tx>
          <c:spPr>
            <a:ln w="2484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Dashboard!$A$20:$A$47</c:f>
              <c:numCache>
                <c:formatCode>m/d</c:formatCode>
                <c:ptCount val="28"/>
                <c:pt idx="0">
                  <c:v>46268</c:v>
                </c:pt>
                <c:pt idx="1">
                  <c:v>46269</c:v>
                </c:pt>
                <c:pt idx="2">
                  <c:v>46270</c:v>
                </c:pt>
                <c:pt idx="3">
                  <c:v>46271</c:v>
                </c:pt>
                <c:pt idx="4">
                  <c:v>46272</c:v>
                </c:pt>
                <c:pt idx="5">
                  <c:v>46273</c:v>
                </c:pt>
                <c:pt idx="6">
                  <c:v>46274</c:v>
                </c:pt>
                <c:pt idx="7">
                  <c:v>46275</c:v>
                </c:pt>
                <c:pt idx="8">
                  <c:v>46276</c:v>
                </c:pt>
                <c:pt idx="9">
                  <c:v>46277</c:v>
                </c:pt>
                <c:pt idx="10">
                  <c:v>46278</c:v>
                </c:pt>
                <c:pt idx="11">
                  <c:v>46279</c:v>
                </c:pt>
                <c:pt idx="12">
                  <c:v>46280</c:v>
                </c:pt>
                <c:pt idx="13">
                  <c:v>46281</c:v>
                </c:pt>
                <c:pt idx="14">
                  <c:v>46282</c:v>
                </c:pt>
                <c:pt idx="15">
                  <c:v>46283</c:v>
                </c:pt>
                <c:pt idx="16">
                  <c:v>46284</c:v>
                </c:pt>
                <c:pt idx="17">
                  <c:v>46285</c:v>
                </c:pt>
                <c:pt idx="18">
                  <c:v>46286</c:v>
                </c:pt>
                <c:pt idx="19">
                  <c:v>46287</c:v>
                </c:pt>
                <c:pt idx="20">
                  <c:v>46288</c:v>
                </c:pt>
                <c:pt idx="21">
                  <c:v>46289</c:v>
                </c:pt>
                <c:pt idx="22">
                  <c:v>46290</c:v>
                </c:pt>
                <c:pt idx="23">
                  <c:v>46291</c:v>
                </c:pt>
                <c:pt idx="24">
                  <c:v>46292</c:v>
                </c:pt>
                <c:pt idx="25">
                  <c:v>46293</c:v>
                </c:pt>
                <c:pt idx="26">
                  <c:v>46294</c:v>
                </c:pt>
                <c:pt idx="27">
                  <c:v>46295</c:v>
                </c:pt>
              </c:numCache>
            </c:numRef>
          </c:cat>
          <c:val>
            <c:numRef>
              <c:f>Dashboard!$B$20:$B$47</c:f>
              <c:numCache>
                <c:formatCode>0.0</c:formatCode>
                <c:ptCount val="28"/>
                <c:pt idx="0">
                  <c:v>119</c:v>
                </c:pt>
                <c:pt idx="1">
                  <c:v>0</c:v>
                </c:pt>
                <c:pt idx="2">
                  <c:v>0</c:v>
                </c:pt>
                <c:pt idx="3">
                  <c:v>119</c:v>
                </c:pt>
                <c:pt idx="4">
                  <c:v>35.1</c:v>
                </c:pt>
                <c:pt idx="5">
                  <c:v>0</c:v>
                </c:pt>
                <c:pt idx="6">
                  <c:v>35.1</c:v>
                </c:pt>
                <c:pt idx="7">
                  <c:v>91</c:v>
                </c:pt>
                <c:pt idx="8">
                  <c:v>119</c:v>
                </c:pt>
                <c:pt idx="9">
                  <c:v>0</c:v>
                </c:pt>
                <c:pt idx="10">
                  <c:v>35.1</c:v>
                </c:pt>
                <c:pt idx="11">
                  <c:v>138</c:v>
                </c:pt>
                <c:pt idx="12">
                  <c:v>0</c:v>
                </c:pt>
                <c:pt idx="13">
                  <c:v>83.3</c:v>
                </c:pt>
                <c:pt idx="14">
                  <c:v>162</c:v>
                </c:pt>
                <c:pt idx="15">
                  <c:v>35.1</c:v>
                </c:pt>
                <c:pt idx="16">
                  <c:v>0</c:v>
                </c:pt>
                <c:pt idx="17">
                  <c:v>35.1</c:v>
                </c:pt>
                <c:pt idx="18">
                  <c:v>150</c:v>
                </c:pt>
                <c:pt idx="19">
                  <c:v>35.1</c:v>
                </c:pt>
                <c:pt idx="20">
                  <c:v>83.3</c:v>
                </c:pt>
                <c:pt idx="21">
                  <c:v>35.1</c:v>
                </c:pt>
                <c:pt idx="22">
                  <c:v>150</c:v>
                </c:pt>
                <c:pt idx="23">
                  <c:v>35.1</c:v>
                </c:pt>
                <c:pt idx="24">
                  <c:v>50.7</c:v>
                </c:pt>
                <c:pt idx="25">
                  <c:v>182.2</c:v>
                </c:pt>
                <c:pt idx="26">
                  <c:v>38.22</c:v>
                </c:pt>
                <c:pt idx="27">
                  <c:v>0</c:v>
                </c:pt>
              </c:numCache>
            </c:numRef>
          </c:val>
          <c:smooth val="1"/>
          <c:extLst>
            <c:ext xmlns:c16="http://schemas.microsoft.com/office/drawing/2014/chart" uri="{C3380CC4-5D6E-409C-BE32-E72D297353CC}">
              <c16:uniqueId val="{00000000-4EC3-4D13-9A08-C166765A4C93}"/>
            </c:ext>
          </c:extLst>
        </c:ser>
        <c:ser>
          <c:idx val="1"/>
          <c:order val="1"/>
          <c:tx>
            <c:strRef>
              <c:f>Dashboard!$C$19</c:f>
              <c:strCache>
                <c:ptCount val="1"/>
                <c:pt idx="0">
                  <c:v>Acute (7d avg line)</c:v>
                </c:pt>
              </c:strCache>
            </c:strRef>
          </c:tx>
          <c:spPr>
            <a:ln w="28440">
              <a:solidFill>
                <a:srgbClr val="BE4B48"/>
              </a:solidFill>
              <a:prstDash val="dash"/>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Dashboard!$A$20:$A$47</c:f>
              <c:numCache>
                <c:formatCode>m/d</c:formatCode>
                <c:ptCount val="28"/>
                <c:pt idx="0">
                  <c:v>46268</c:v>
                </c:pt>
                <c:pt idx="1">
                  <c:v>46269</c:v>
                </c:pt>
                <c:pt idx="2">
                  <c:v>46270</c:v>
                </c:pt>
                <c:pt idx="3">
                  <c:v>46271</c:v>
                </c:pt>
                <c:pt idx="4">
                  <c:v>46272</c:v>
                </c:pt>
                <c:pt idx="5">
                  <c:v>46273</c:v>
                </c:pt>
                <c:pt idx="6">
                  <c:v>46274</c:v>
                </c:pt>
                <c:pt idx="7">
                  <c:v>46275</c:v>
                </c:pt>
                <c:pt idx="8">
                  <c:v>46276</c:v>
                </c:pt>
                <c:pt idx="9">
                  <c:v>46277</c:v>
                </c:pt>
                <c:pt idx="10">
                  <c:v>46278</c:v>
                </c:pt>
                <c:pt idx="11">
                  <c:v>46279</c:v>
                </c:pt>
                <c:pt idx="12">
                  <c:v>46280</c:v>
                </c:pt>
                <c:pt idx="13">
                  <c:v>46281</c:v>
                </c:pt>
                <c:pt idx="14">
                  <c:v>46282</c:v>
                </c:pt>
                <c:pt idx="15">
                  <c:v>46283</c:v>
                </c:pt>
                <c:pt idx="16">
                  <c:v>46284</c:v>
                </c:pt>
                <c:pt idx="17">
                  <c:v>46285</c:v>
                </c:pt>
                <c:pt idx="18">
                  <c:v>46286</c:v>
                </c:pt>
                <c:pt idx="19">
                  <c:v>46287</c:v>
                </c:pt>
                <c:pt idx="20">
                  <c:v>46288</c:v>
                </c:pt>
                <c:pt idx="21">
                  <c:v>46289</c:v>
                </c:pt>
                <c:pt idx="22">
                  <c:v>46290</c:v>
                </c:pt>
                <c:pt idx="23">
                  <c:v>46291</c:v>
                </c:pt>
                <c:pt idx="24">
                  <c:v>46292</c:v>
                </c:pt>
                <c:pt idx="25">
                  <c:v>46293</c:v>
                </c:pt>
                <c:pt idx="26">
                  <c:v>46294</c:v>
                </c:pt>
                <c:pt idx="27">
                  <c:v>46295</c:v>
                </c:pt>
              </c:numCache>
            </c:numRef>
          </c:cat>
          <c:val>
            <c:numRef>
              <c:f>Dashboard!$C$20:$C$47</c:f>
              <c:numCache>
                <c:formatCode>0.0</c:formatCode>
                <c:ptCount val="28"/>
                <c:pt idx="0">
                  <c:v>70.188571428571422</c:v>
                </c:pt>
                <c:pt idx="1">
                  <c:v>70.188571428571422</c:v>
                </c:pt>
                <c:pt idx="2">
                  <c:v>70.188571428571422</c:v>
                </c:pt>
                <c:pt idx="3">
                  <c:v>70.188571428571422</c:v>
                </c:pt>
                <c:pt idx="4">
                  <c:v>70.188571428571422</c:v>
                </c:pt>
                <c:pt idx="5">
                  <c:v>70.188571428571422</c:v>
                </c:pt>
                <c:pt idx="6">
                  <c:v>70.188571428571422</c:v>
                </c:pt>
                <c:pt idx="7">
                  <c:v>70.188571428571422</c:v>
                </c:pt>
                <c:pt idx="8">
                  <c:v>70.188571428571422</c:v>
                </c:pt>
                <c:pt idx="9">
                  <c:v>70.188571428571422</c:v>
                </c:pt>
                <c:pt idx="10">
                  <c:v>70.188571428571422</c:v>
                </c:pt>
                <c:pt idx="11">
                  <c:v>70.188571428571422</c:v>
                </c:pt>
                <c:pt idx="12">
                  <c:v>70.188571428571422</c:v>
                </c:pt>
                <c:pt idx="13">
                  <c:v>70.188571428571422</c:v>
                </c:pt>
                <c:pt idx="14">
                  <c:v>70.188571428571422</c:v>
                </c:pt>
                <c:pt idx="15">
                  <c:v>70.188571428571422</c:v>
                </c:pt>
                <c:pt idx="16">
                  <c:v>70.188571428571422</c:v>
                </c:pt>
                <c:pt idx="17">
                  <c:v>70.188571428571422</c:v>
                </c:pt>
                <c:pt idx="18">
                  <c:v>70.188571428571422</c:v>
                </c:pt>
                <c:pt idx="19">
                  <c:v>70.188571428571422</c:v>
                </c:pt>
                <c:pt idx="20">
                  <c:v>70.188571428571422</c:v>
                </c:pt>
                <c:pt idx="21">
                  <c:v>70.188571428571422</c:v>
                </c:pt>
                <c:pt idx="22">
                  <c:v>70.188571428571422</c:v>
                </c:pt>
                <c:pt idx="23">
                  <c:v>70.188571428571422</c:v>
                </c:pt>
                <c:pt idx="24">
                  <c:v>70.188571428571422</c:v>
                </c:pt>
                <c:pt idx="25">
                  <c:v>70.188571428571422</c:v>
                </c:pt>
                <c:pt idx="26">
                  <c:v>70.188571428571422</c:v>
                </c:pt>
                <c:pt idx="27">
                  <c:v>70.188571428571422</c:v>
                </c:pt>
              </c:numCache>
            </c:numRef>
          </c:val>
          <c:smooth val="1"/>
          <c:extLst>
            <c:ext xmlns:c16="http://schemas.microsoft.com/office/drawing/2014/chart" uri="{C3380CC4-5D6E-409C-BE32-E72D297353CC}">
              <c16:uniqueId val="{00000001-4EC3-4D13-9A08-C166765A4C93}"/>
            </c:ext>
          </c:extLst>
        </c:ser>
        <c:ser>
          <c:idx val="2"/>
          <c:order val="2"/>
          <c:tx>
            <c:strRef>
              <c:f>Dashboard!$D$19</c:f>
              <c:strCache>
                <c:ptCount val="1"/>
                <c:pt idx="0">
                  <c:v>Chronic (28d avg line)</c:v>
                </c:pt>
              </c:strCache>
            </c:strRef>
          </c:tx>
          <c:spPr>
            <a:ln w="28440">
              <a:solidFill>
                <a:srgbClr val="98B855"/>
              </a:solidFill>
              <a:prstDash val="dash"/>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Dashboard!$A$20:$A$47</c:f>
              <c:numCache>
                <c:formatCode>m/d</c:formatCode>
                <c:ptCount val="28"/>
                <c:pt idx="0">
                  <c:v>46268</c:v>
                </c:pt>
                <c:pt idx="1">
                  <c:v>46269</c:v>
                </c:pt>
                <c:pt idx="2">
                  <c:v>46270</c:v>
                </c:pt>
                <c:pt idx="3">
                  <c:v>46271</c:v>
                </c:pt>
                <c:pt idx="4">
                  <c:v>46272</c:v>
                </c:pt>
                <c:pt idx="5">
                  <c:v>46273</c:v>
                </c:pt>
                <c:pt idx="6">
                  <c:v>46274</c:v>
                </c:pt>
                <c:pt idx="7">
                  <c:v>46275</c:v>
                </c:pt>
                <c:pt idx="8">
                  <c:v>46276</c:v>
                </c:pt>
                <c:pt idx="9">
                  <c:v>46277</c:v>
                </c:pt>
                <c:pt idx="10">
                  <c:v>46278</c:v>
                </c:pt>
                <c:pt idx="11">
                  <c:v>46279</c:v>
                </c:pt>
                <c:pt idx="12">
                  <c:v>46280</c:v>
                </c:pt>
                <c:pt idx="13">
                  <c:v>46281</c:v>
                </c:pt>
                <c:pt idx="14">
                  <c:v>46282</c:v>
                </c:pt>
                <c:pt idx="15">
                  <c:v>46283</c:v>
                </c:pt>
                <c:pt idx="16">
                  <c:v>46284</c:v>
                </c:pt>
                <c:pt idx="17">
                  <c:v>46285</c:v>
                </c:pt>
                <c:pt idx="18">
                  <c:v>46286</c:v>
                </c:pt>
                <c:pt idx="19">
                  <c:v>46287</c:v>
                </c:pt>
                <c:pt idx="20">
                  <c:v>46288</c:v>
                </c:pt>
                <c:pt idx="21">
                  <c:v>46289</c:v>
                </c:pt>
                <c:pt idx="22">
                  <c:v>46290</c:v>
                </c:pt>
                <c:pt idx="23">
                  <c:v>46291</c:v>
                </c:pt>
                <c:pt idx="24">
                  <c:v>46292</c:v>
                </c:pt>
                <c:pt idx="25">
                  <c:v>46293</c:v>
                </c:pt>
                <c:pt idx="26">
                  <c:v>46294</c:v>
                </c:pt>
                <c:pt idx="27">
                  <c:v>46295</c:v>
                </c:pt>
              </c:numCache>
            </c:numRef>
          </c:cat>
          <c:val>
            <c:numRef>
              <c:f>Dashboard!$D$20:$D$47</c:f>
              <c:numCache>
                <c:formatCode>0.0</c:formatCode>
                <c:ptCount val="28"/>
                <c:pt idx="0">
                  <c:v>63.089999999999996</c:v>
                </c:pt>
                <c:pt idx="1">
                  <c:v>63.089999999999996</c:v>
                </c:pt>
                <c:pt idx="2">
                  <c:v>63.089999999999996</c:v>
                </c:pt>
                <c:pt idx="3">
                  <c:v>63.089999999999996</c:v>
                </c:pt>
                <c:pt idx="4">
                  <c:v>63.089999999999996</c:v>
                </c:pt>
                <c:pt idx="5">
                  <c:v>63.089999999999996</c:v>
                </c:pt>
                <c:pt idx="6">
                  <c:v>63.089999999999996</c:v>
                </c:pt>
                <c:pt idx="7">
                  <c:v>63.089999999999996</c:v>
                </c:pt>
                <c:pt idx="8">
                  <c:v>63.089999999999996</c:v>
                </c:pt>
                <c:pt idx="9">
                  <c:v>63.089999999999996</c:v>
                </c:pt>
                <c:pt idx="10">
                  <c:v>63.089999999999996</c:v>
                </c:pt>
                <c:pt idx="11">
                  <c:v>63.089999999999996</c:v>
                </c:pt>
                <c:pt idx="12">
                  <c:v>63.089999999999996</c:v>
                </c:pt>
                <c:pt idx="13">
                  <c:v>63.089999999999996</c:v>
                </c:pt>
                <c:pt idx="14">
                  <c:v>63.089999999999996</c:v>
                </c:pt>
                <c:pt idx="15">
                  <c:v>63.089999999999996</c:v>
                </c:pt>
                <c:pt idx="16">
                  <c:v>63.089999999999996</c:v>
                </c:pt>
                <c:pt idx="17">
                  <c:v>63.089999999999996</c:v>
                </c:pt>
                <c:pt idx="18">
                  <c:v>63.089999999999996</c:v>
                </c:pt>
                <c:pt idx="19">
                  <c:v>63.089999999999996</c:v>
                </c:pt>
                <c:pt idx="20">
                  <c:v>63.089999999999996</c:v>
                </c:pt>
                <c:pt idx="21">
                  <c:v>63.089999999999996</c:v>
                </c:pt>
                <c:pt idx="22">
                  <c:v>63.089999999999996</c:v>
                </c:pt>
                <c:pt idx="23">
                  <c:v>63.089999999999996</c:v>
                </c:pt>
                <c:pt idx="24">
                  <c:v>63.089999999999996</c:v>
                </c:pt>
                <c:pt idx="25">
                  <c:v>63.089999999999996</c:v>
                </c:pt>
                <c:pt idx="26">
                  <c:v>63.089999999999996</c:v>
                </c:pt>
                <c:pt idx="27">
                  <c:v>63.089999999999996</c:v>
                </c:pt>
              </c:numCache>
            </c:numRef>
          </c:val>
          <c:smooth val="1"/>
          <c:extLst>
            <c:ext xmlns:c16="http://schemas.microsoft.com/office/drawing/2014/chart" uri="{C3380CC4-5D6E-409C-BE32-E72D297353CC}">
              <c16:uniqueId val="{00000002-4EC3-4D13-9A08-C166765A4C93}"/>
            </c:ext>
          </c:extLst>
        </c:ser>
        <c:dLbls>
          <c:showLegendKey val="0"/>
          <c:showVal val="0"/>
          <c:showCatName val="0"/>
          <c:showSerName val="0"/>
          <c:showPercent val="0"/>
          <c:showBubbleSize val="0"/>
        </c:dLbls>
        <c:hiLowLines>
          <c:spPr>
            <a:ln w="0">
              <a:noFill/>
            </a:ln>
          </c:spPr>
        </c:hiLowLines>
        <c:smooth val="0"/>
        <c:axId val="24538310"/>
        <c:axId val="88354639"/>
      </c:lineChart>
      <c:dateAx>
        <c:axId val="24538310"/>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Date</a:t>
                </a:r>
              </a:p>
            </c:rich>
          </c:tx>
          <c:overlay val="0"/>
          <c:spPr>
            <a:noFill/>
            <a:ln w="0">
              <a:noFill/>
            </a:ln>
          </c:spPr>
        </c:title>
        <c:numFmt formatCode="m/d"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354639"/>
        <c:crosses val="autoZero"/>
        <c:auto val="1"/>
        <c:lblOffset val="100"/>
        <c:baseTimeUnit val="days"/>
      </c:dateAx>
      <c:valAx>
        <c:axId val="88354639"/>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Workload</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53831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146880</xdr:rowOff>
    </xdr:from>
    <xdr:to>
      <xdr:col>17</xdr:col>
      <xdr:colOff>472680</xdr:colOff>
      <xdr:row>19</xdr:row>
      <xdr:rowOff>87120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showGridLines="0" zoomScaleNormal="100" workbookViewId="0">
      <selection sqref="A1:B1"/>
    </sheetView>
  </sheetViews>
  <sheetFormatPr defaultColWidth="8.6640625" defaultRowHeight="14.4" x14ac:dyDescent="0.3"/>
  <cols>
    <col min="1" max="1" width="3" customWidth="1"/>
    <col min="2" max="2" width="100" customWidth="1"/>
  </cols>
  <sheetData>
    <row r="1" spans="1:2" ht="25.5" customHeight="1" x14ac:dyDescent="0.4">
      <c r="A1" s="29" t="s">
        <v>0</v>
      </c>
      <c r="B1" s="29"/>
    </row>
    <row r="2" spans="1:2" x14ac:dyDescent="0.3">
      <c r="B2" s="6" t="s">
        <v>1</v>
      </c>
    </row>
    <row r="4" spans="1:2" ht="15" customHeight="1" x14ac:dyDescent="0.3">
      <c r="B4" s="5" t="s">
        <v>2</v>
      </c>
    </row>
    <row r="6" spans="1:2" ht="90" customHeight="1" x14ac:dyDescent="0.3">
      <c r="B6" s="4" t="s">
        <v>3</v>
      </c>
    </row>
    <row r="12" spans="1:2" ht="15" customHeight="1" x14ac:dyDescent="0.3">
      <c r="B12" s="5" t="s">
        <v>4</v>
      </c>
    </row>
    <row r="14" spans="1:2" x14ac:dyDescent="0.3">
      <c r="B14" s="7" t="s">
        <v>5</v>
      </c>
    </row>
    <row r="16" spans="1:2" ht="139.5" customHeight="1" x14ac:dyDescent="0.3">
      <c r="B16" s="4" t="s">
        <v>6</v>
      </c>
    </row>
    <row r="24" spans="2:2" ht="109.5" customHeight="1" x14ac:dyDescent="0.3">
      <c r="B24" s="4" t="s">
        <v>7</v>
      </c>
    </row>
    <row r="30" spans="2:2" ht="15" customHeight="1" x14ac:dyDescent="0.3">
      <c r="B30" s="5" t="s">
        <v>8</v>
      </c>
    </row>
    <row r="32" spans="2:2" ht="99.75" customHeight="1" x14ac:dyDescent="0.3">
      <c r="B32" s="4" t="s">
        <v>9</v>
      </c>
    </row>
    <row r="38" spans="2:2" ht="15" customHeight="1" x14ac:dyDescent="0.3">
      <c r="B38" s="5" t="s">
        <v>10</v>
      </c>
    </row>
    <row r="40" spans="2:2" ht="105" customHeight="1" x14ac:dyDescent="0.3">
      <c r="B40" s="4" t="s">
        <v>11</v>
      </c>
    </row>
    <row r="46" spans="2:2" ht="15" customHeight="1" x14ac:dyDescent="0.3">
      <c r="B46" s="5" t="s">
        <v>12</v>
      </c>
    </row>
    <row r="48" spans="2:2" ht="219.75" customHeight="1" x14ac:dyDescent="0.3">
      <c r="B48" s="4" t="s">
        <v>13</v>
      </c>
    </row>
    <row r="60" spans="2:2" ht="15" customHeight="1" x14ac:dyDescent="0.3">
      <c r="B60" s="5" t="s">
        <v>14</v>
      </c>
    </row>
    <row r="62" spans="2:2" ht="109.5" customHeight="1" x14ac:dyDescent="0.3">
      <c r="B62" s="4" t="s">
        <v>15</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6"/>
  <sheetViews>
    <sheetView showGridLines="0" topLeftCell="A35" zoomScaleNormal="100" workbookViewId="0">
      <selection activeCell="B49" sqref="B49"/>
    </sheetView>
  </sheetViews>
  <sheetFormatPr defaultColWidth="8.6640625" defaultRowHeight="14.4" x14ac:dyDescent="0.3"/>
  <cols>
    <col min="1" max="1" width="22" customWidth="1"/>
    <col min="2" max="2" width="16" customWidth="1"/>
    <col min="3" max="3" width="46" customWidth="1"/>
  </cols>
  <sheetData>
    <row r="1" spans="1:3" ht="21" customHeight="1" x14ac:dyDescent="0.4">
      <c r="A1" s="29" t="s">
        <v>16</v>
      </c>
      <c r="B1" s="29"/>
      <c r="C1" s="29"/>
    </row>
    <row r="2" spans="1:3" x14ac:dyDescent="0.3">
      <c r="A2" s="33" t="s">
        <v>17</v>
      </c>
      <c r="B2" s="33"/>
      <c r="C2" s="33"/>
    </row>
    <row r="4" spans="1:3" ht="15" customHeight="1" x14ac:dyDescent="0.3">
      <c r="A4" s="31" t="s">
        <v>18</v>
      </c>
      <c r="B4" s="31"/>
      <c r="C4" s="31"/>
    </row>
    <row r="5" spans="1:3" x14ac:dyDescent="0.3">
      <c r="A5" s="8" t="s">
        <v>19</v>
      </c>
      <c r="B5" s="8" t="s">
        <v>20</v>
      </c>
      <c r="C5" s="8" t="s">
        <v>21</v>
      </c>
    </row>
    <row r="6" spans="1:3" x14ac:dyDescent="0.3">
      <c r="A6" s="9">
        <v>0</v>
      </c>
      <c r="B6" s="9">
        <v>1</v>
      </c>
      <c r="C6" s="10" t="s">
        <v>22</v>
      </c>
    </row>
    <row r="7" spans="1:3" x14ac:dyDescent="0.3">
      <c r="A7" s="9">
        <v>61</v>
      </c>
      <c r="B7" s="9">
        <v>1.3</v>
      </c>
      <c r="C7" s="10" t="s">
        <v>23</v>
      </c>
    </row>
    <row r="8" spans="1:3" x14ac:dyDescent="0.3">
      <c r="A8" s="9">
        <v>91</v>
      </c>
      <c r="B8" s="9">
        <v>1.7</v>
      </c>
      <c r="C8" s="10" t="s">
        <v>24</v>
      </c>
    </row>
    <row r="9" spans="1:3" x14ac:dyDescent="0.3">
      <c r="A9" s="9">
        <v>121</v>
      </c>
      <c r="B9" s="9">
        <v>2.2000000000000002</v>
      </c>
      <c r="C9" s="10" t="s">
        <v>25</v>
      </c>
    </row>
    <row r="10" spans="1:3" x14ac:dyDescent="0.3">
      <c r="A10" s="9">
        <v>151</v>
      </c>
      <c r="B10" s="9">
        <v>2.8</v>
      </c>
      <c r="C10" s="10" t="s">
        <v>26</v>
      </c>
    </row>
    <row r="11" spans="1:3" x14ac:dyDescent="0.3">
      <c r="A11" s="9">
        <v>181</v>
      </c>
      <c r="B11" s="9">
        <v>3.5</v>
      </c>
      <c r="C11" s="10" t="s">
        <v>27</v>
      </c>
    </row>
    <row r="14" spans="1:3" ht="15" customHeight="1" x14ac:dyDescent="0.3">
      <c r="A14" s="31" t="s">
        <v>28</v>
      </c>
      <c r="B14" s="31"/>
      <c r="C14" s="31"/>
    </row>
    <row r="15" spans="1:3" ht="43.5" customHeight="1" x14ac:dyDescent="0.3">
      <c r="A15" s="30" t="s">
        <v>29</v>
      </c>
      <c r="B15" s="30"/>
      <c r="C15" s="30"/>
    </row>
    <row r="16" spans="1:3" ht="26.25" customHeight="1" x14ac:dyDescent="0.3">
      <c r="A16" s="8" t="s">
        <v>30</v>
      </c>
      <c r="B16" s="8" t="s">
        <v>31</v>
      </c>
      <c r="C16" s="8" t="s">
        <v>21</v>
      </c>
    </row>
    <row r="17" spans="1:3" x14ac:dyDescent="0.3">
      <c r="A17" s="9">
        <v>0</v>
      </c>
      <c r="B17" s="9">
        <v>2</v>
      </c>
      <c r="C17" s="10" t="s">
        <v>32</v>
      </c>
    </row>
    <row r="18" spans="1:3" x14ac:dyDescent="0.3">
      <c r="A18" s="9">
        <v>4</v>
      </c>
      <c r="B18" s="9">
        <v>1.5</v>
      </c>
      <c r="C18" s="10" t="s">
        <v>33</v>
      </c>
    </row>
    <row r="19" spans="1:3" x14ac:dyDescent="0.3">
      <c r="A19" s="9">
        <v>7</v>
      </c>
      <c r="B19" s="9">
        <v>1</v>
      </c>
      <c r="C19" s="10" t="s">
        <v>34</v>
      </c>
    </row>
    <row r="20" spans="1:3" x14ac:dyDescent="0.3">
      <c r="A20" s="9">
        <v>10</v>
      </c>
      <c r="B20" s="9">
        <v>0.6</v>
      </c>
      <c r="C20" s="10" t="s">
        <v>35</v>
      </c>
    </row>
    <row r="22" spans="1:3" ht="15" customHeight="1" x14ac:dyDescent="0.3">
      <c r="A22" s="31" t="s">
        <v>36</v>
      </c>
      <c r="B22" s="31"/>
      <c r="C22" s="31"/>
    </row>
    <row r="23" spans="1:3" x14ac:dyDescent="0.3">
      <c r="A23" s="8" t="s">
        <v>37</v>
      </c>
      <c r="B23" s="8" t="s">
        <v>38</v>
      </c>
      <c r="C23" s="8" t="s">
        <v>39</v>
      </c>
    </row>
    <row r="24" spans="1:3" ht="26.25" customHeight="1" x14ac:dyDescent="0.3">
      <c r="A24" s="9">
        <v>0</v>
      </c>
      <c r="B24" s="10" t="s">
        <v>40</v>
      </c>
      <c r="C24" s="3" t="s">
        <v>41</v>
      </c>
    </row>
    <row r="25" spans="1:3" ht="26.25" customHeight="1" x14ac:dyDescent="0.3">
      <c r="A25" s="9">
        <v>0.8</v>
      </c>
      <c r="B25" s="10" t="s">
        <v>42</v>
      </c>
      <c r="C25" s="3" t="s">
        <v>43</v>
      </c>
    </row>
    <row r="26" spans="1:3" ht="26.25" customHeight="1" x14ac:dyDescent="0.3">
      <c r="A26" s="9">
        <v>1.31</v>
      </c>
      <c r="B26" s="10" t="s">
        <v>44</v>
      </c>
      <c r="C26" s="3" t="s">
        <v>45</v>
      </c>
    </row>
    <row r="27" spans="1:3" ht="26.25" customHeight="1" x14ac:dyDescent="0.3">
      <c r="A27" s="9">
        <v>1.51</v>
      </c>
      <c r="B27" s="10" t="s">
        <v>46</v>
      </c>
      <c r="C27" s="3" t="s">
        <v>47</v>
      </c>
    </row>
    <row r="30" spans="1:3" ht="15" customHeight="1" x14ac:dyDescent="0.3">
      <c r="A30" s="31" t="s">
        <v>48</v>
      </c>
      <c r="B30" s="31"/>
      <c r="C30" s="31"/>
    </row>
    <row r="31" spans="1:3" x14ac:dyDescent="0.3">
      <c r="A31" s="11" t="s">
        <v>49</v>
      </c>
    </row>
    <row r="32" spans="1:3" x14ac:dyDescent="0.3">
      <c r="A32" s="11" t="s">
        <v>50</v>
      </c>
    </row>
    <row r="33" spans="1:3" x14ac:dyDescent="0.3">
      <c r="A33" s="11" t="s">
        <v>51</v>
      </c>
    </row>
    <row r="34" spans="1:3" x14ac:dyDescent="0.3">
      <c r="A34" s="11" t="s">
        <v>52</v>
      </c>
    </row>
    <row r="35" spans="1:3" x14ac:dyDescent="0.3">
      <c r="A35" s="11" t="s">
        <v>53</v>
      </c>
    </row>
    <row r="36" spans="1:3" x14ac:dyDescent="0.3">
      <c r="A36" s="11" t="s">
        <v>54</v>
      </c>
    </row>
    <row r="37" spans="1:3" x14ac:dyDescent="0.3">
      <c r="A37" s="11" t="s">
        <v>55</v>
      </c>
    </row>
    <row r="40" spans="1:3" ht="15" customHeight="1" x14ac:dyDescent="0.3">
      <c r="A40" s="31" t="s">
        <v>56</v>
      </c>
      <c r="B40" s="31"/>
      <c r="C40" s="31"/>
    </row>
    <row r="41" spans="1:3" ht="57.75" customHeight="1" x14ac:dyDescent="0.3">
      <c r="A41" s="30" t="s">
        <v>57</v>
      </c>
      <c r="B41" s="30"/>
      <c r="C41" s="30"/>
    </row>
    <row r="43" spans="1:3" ht="26.25" customHeight="1" x14ac:dyDescent="0.3">
      <c r="A43" s="8" t="s">
        <v>58</v>
      </c>
      <c r="B43" s="8" t="s">
        <v>59</v>
      </c>
      <c r="C43" s="8" t="s">
        <v>60</v>
      </c>
    </row>
    <row r="44" spans="1:3" x14ac:dyDescent="0.3">
      <c r="A44" s="9" t="s">
        <v>49</v>
      </c>
      <c r="B44" s="9">
        <v>0</v>
      </c>
      <c r="C44" s="10"/>
    </row>
    <row r="45" spans="1:3" x14ac:dyDescent="0.3">
      <c r="A45" s="9" t="s">
        <v>50</v>
      </c>
      <c r="B45" s="9">
        <v>3</v>
      </c>
      <c r="C45" s="10" t="s">
        <v>61</v>
      </c>
    </row>
    <row r="46" spans="1:3" x14ac:dyDescent="0.3">
      <c r="A46" s="9" t="s">
        <v>51</v>
      </c>
      <c r="B46" s="9">
        <v>3</v>
      </c>
      <c r="C46" s="10" t="s">
        <v>62</v>
      </c>
    </row>
    <row r="47" spans="1:3" x14ac:dyDescent="0.3">
      <c r="A47" s="9" t="s">
        <v>52</v>
      </c>
      <c r="B47" s="9">
        <v>0</v>
      </c>
      <c r="C47" s="10" t="s">
        <v>63</v>
      </c>
    </row>
    <row r="48" spans="1:3" x14ac:dyDescent="0.3">
      <c r="A48" s="9" t="s">
        <v>53</v>
      </c>
      <c r="B48" s="9">
        <v>3.5</v>
      </c>
      <c r="C48" s="10" t="s">
        <v>64</v>
      </c>
    </row>
    <row r="49" spans="1:3" x14ac:dyDescent="0.3">
      <c r="A49" s="9" t="s">
        <v>54</v>
      </c>
      <c r="B49" s="9">
        <v>0</v>
      </c>
      <c r="C49" s="10" t="s">
        <v>65</v>
      </c>
    </row>
    <row r="50" spans="1:3" x14ac:dyDescent="0.3">
      <c r="A50" s="9" t="s">
        <v>55</v>
      </c>
      <c r="B50" s="9">
        <v>4.5</v>
      </c>
      <c r="C50" s="10" t="s">
        <v>66</v>
      </c>
    </row>
    <row r="53" spans="1:3" ht="15" customHeight="1" x14ac:dyDescent="0.3">
      <c r="A53" s="31" t="s">
        <v>67</v>
      </c>
      <c r="B53" s="31"/>
      <c r="C53" s="31"/>
    </row>
    <row r="54" spans="1:3" ht="229.5" customHeight="1" x14ac:dyDescent="0.3">
      <c r="A54" s="32" t="s">
        <v>68</v>
      </c>
      <c r="B54" s="32"/>
      <c r="C54" s="32"/>
    </row>
    <row r="57" spans="1:3" ht="15" customHeight="1" x14ac:dyDescent="0.3">
      <c r="A57" s="31" t="s">
        <v>69</v>
      </c>
      <c r="B57" s="31"/>
      <c r="C57" s="31"/>
    </row>
    <row r="58" spans="1:3" ht="150" customHeight="1" x14ac:dyDescent="0.3">
      <c r="A58" s="32" t="s">
        <v>70</v>
      </c>
      <c r="B58" s="32"/>
      <c r="C58" s="32"/>
    </row>
    <row r="60" spans="1:3" x14ac:dyDescent="0.3">
      <c r="A60" s="8" t="s">
        <v>58</v>
      </c>
      <c r="B60" s="8" t="s">
        <v>71</v>
      </c>
      <c r="C60" s="8" t="s">
        <v>60</v>
      </c>
    </row>
    <row r="61" spans="1:3" ht="30" customHeight="1" x14ac:dyDescent="0.3">
      <c r="A61" s="9" t="s">
        <v>52</v>
      </c>
      <c r="B61" s="9">
        <v>3</v>
      </c>
      <c r="C61" s="3" t="s">
        <v>72</v>
      </c>
    </row>
    <row r="62" spans="1:3" ht="30" customHeight="1" x14ac:dyDescent="0.3">
      <c r="A62" s="9" t="s">
        <v>54</v>
      </c>
      <c r="B62" s="9">
        <v>3.2</v>
      </c>
      <c r="C62" s="3" t="s">
        <v>73</v>
      </c>
    </row>
    <row r="65" spans="1:3" ht="15" customHeight="1" x14ac:dyDescent="0.3">
      <c r="A65" s="31" t="s">
        <v>74</v>
      </c>
      <c r="B65" s="31"/>
      <c r="C65" s="31"/>
    </row>
    <row r="66" spans="1:3" ht="259.5" customHeight="1" x14ac:dyDescent="0.3">
      <c r="A66" s="32" t="s">
        <v>75</v>
      </c>
      <c r="B66" s="32"/>
      <c r="C66" s="32"/>
    </row>
    <row r="69" spans="1:3" ht="15" customHeight="1" x14ac:dyDescent="0.3">
      <c r="A69" s="31" t="s">
        <v>76</v>
      </c>
      <c r="B69" s="31"/>
      <c r="C69" s="31"/>
    </row>
    <row r="70" spans="1:3" ht="85.5" customHeight="1" x14ac:dyDescent="0.3">
      <c r="A70" s="30" t="s">
        <v>77</v>
      </c>
      <c r="B70" s="30"/>
      <c r="C70" s="30"/>
    </row>
    <row r="72" spans="1:3" x14ac:dyDescent="0.3">
      <c r="A72" s="8" t="s">
        <v>78</v>
      </c>
      <c r="B72" s="8" t="s">
        <v>79</v>
      </c>
      <c r="C72" s="8" t="s">
        <v>60</v>
      </c>
    </row>
    <row r="73" spans="1:3" ht="30" customHeight="1" x14ac:dyDescent="0.3">
      <c r="A73" s="9">
        <v>0</v>
      </c>
      <c r="B73" s="9" t="s">
        <v>54</v>
      </c>
      <c r="C73" s="3" t="s">
        <v>80</v>
      </c>
    </row>
    <row r="74" spans="1:3" ht="30" customHeight="1" x14ac:dyDescent="0.3">
      <c r="A74" s="9">
        <v>1</v>
      </c>
      <c r="B74" s="9" t="s">
        <v>81</v>
      </c>
      <c r="C74" s="3" t="s">
        <v>82</v>
      </c>
    </row>
    <row r="75" spans="1:3" ht="30" customHeight="1" x14ac:dyDescent="0.3">
      <c r="A75" s="9">
        <v>2</v>
      </c>
      <c r="B75" s="9" t="s">
        <v>83</v>
      </c>
      <c r="C75" s="3" t="s">
        <v>84</v>
      </c>
    </row>
    <row r="76" spans="1:3" ht="30" customHeight="1" x14ac:dyDescent="0.3">
      <c r="A76" s="9">
        <v>3</v>
      </c>
      <c r="B76" s="9" t="s">
        <v>85</v>
      </c>
      <c r="C76" s="3" t="s">
        <v>86</v>
      </c>
    </row>
    <row r="77" spans="1:3" ht="30" customHeight="1" x14ac:dyDescent="0.3">
      <c r="A77" s="9">
        <v>4</v>
      </c>
      <c r="B77" s="9" t="s">
        <v>83</v>
      </c>
      <c r="C77" s="3" t="s">
        <v>87</v>
      </c>
    </row>
    <row r="78" spans="1:3" ht="30" customHeight="1" x14ac:dyDescent="0.3">
      <c r="A78" s="9">
        <v>5</v>
      </c>
      <c r="B78" s="9" t="s">
        <v>81</v>
      </c>
      <c r="C78" s="3" t="s">
        <v>88</v>
      </c>
    </row>
    <row r="80" spans="1:3" ht="15" customHeight="1" x14ac:dyDescent="0.3">
      <c r="A80" s="31" t="s">
        <v>89</v>
      </c>
      <c r="B80" s="31"/>
      <c r="C80" s="31"/>
    </row>
    <row r="81" spans="1:3" ht="57.75" customHeight="1" x14ac:dyDescent="0.3">
      <c r="A81" s="30" t="s">
        <v>90</v>
      </c>
      <c r="B81" s="30"/>
      <c r="C81" s="30"/>
    </row>
    <row r="83" spans="1:3" ht="26.25" customHeight="1" x14ac:dyDescent="0.3">
      <c r="A83" s="8" t="s">
        <v>91</v>
      </c>
      <c r="B83" s="8" t="s">
        <v>92</v>
      </c>
      <c r="C83" s="8" t="s">
        <v>60</v>
      </c>
    </row>
    <row r="84" spans="1:3" ht="27.75" customHeight="1" x14ac:dyDescent="0.3">
      <c r="A84" s="9">
        <v>0</v>
      </c>
      <c r="B84" s="9" t="s">
        <v>83</v>
      </c>
      <c r="C84" s="3" t="s">
        <v>93</v>
      </c>
    </row>
    <row r="85" spans="1:3" ht="27.75" customHeight="1" x14ac:dyDescent="0.3">
      <c r="A85" s="9">
        <v>1</v>
      </c>
      <c r="B85" s="9" t="s">
        <v>94</v>
      </c>
      <c r="C85" s="3" t="s">
        <v>95</v>
      </c>
    </row>
    <row r="86" spans="1:3" ht="27.75" customHeight="1" x14ac:dyDescent="0.3">
      <c r="A86" s="9">
        <v>2</v>
      </c>
      <c r="B86" s="9" t="s">
        <v>81</v>
      </c>
      <c r="C86" s="3" t="s">
        <v>96</v>
      </c>
    </row>
  </sheetData>
  <mergeCells count="19">
    <mergeCell ref="A1:C1"/>
    <mergeCell ref="A2:C2"/>
    <mergeCell ref="A4:C4"/>
    <mergeCell ref="A14:C14"/>
    <mergeCell ref="A15:C15"/>
    <mergeCell ref="A22:C22"/>
    <mergeCell ref="A30:C30"/>
    <mergeCell ref="A40:C40"/>
    <mergeCell ref="A41:C41"/>
    <mergeCell ref="A53:C53"/>
    <mergeCell ref="A69:C69"/>
    <mergeCell ref="A70:C70"/>
    <mergeCell ref="A80:C80"/>
    <mergeCell ref="A81:C81"/>
    <mergeCell ref="A54:C54"/>
    <mergeCell ref="A57:C57"/>
    <mergeCell ref="A58:C58"/>
    <mergeCell ref="A65:C65"/>
    <mergeCell ref="A66:C6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0"/>
  <sheetViews>
    <sheetView showGridLines="0" zoomScaleNormal="100" workbookViewId="0">
      <selection activeCell="A6" sqref="A6"/>
    </sheetView>
  </sheetViews>
  <sheetFormatPr defaultColWidth="8.6640625" defaultRowHeight="14.4" x14ac:dyDescent="0.3"/>
  <cols>
    <col min="1" max="1" width="22" customWidth="1"/>
    <col min="2" max="2" width="16" customWidth="1"/>
    <col min="3" max="3" width="12" customWidth="1"/>
    <col min="4" max="4" width="16" customWidth="1"/>
    <col min="5" max="5" width="40" customWidth="1"/>
  </cols>
  <sheetData>
    <row r="1" spans="1:5" ht="21" customHeight="1" x14ac:dyDescent="0.4">
      <c r="A1" s="29" t="s">
        <v>97</v>
      </c>
      <c r="B1" s="29"/>
      <c r="C1" s="29"/>
      <c r="D1" s="29"/>
      <c r="E1" s="29"/>
    </row>
    <row r="2" spans="1:5" ht="43.5" customHeight="1" x14ac:dyDescent="0.3">
      <c r="A2" s="30" t="s">
        <v>98</v>
      </c>
      <c r="B2" s="30"/>
      <c r="C2" s="30"/>
      <c r="D2" s="30"/>
      <c r="E2" s="30"/>
    </row>
    <row r="4" spans="1:5" ht="30" customHeight="1" x14ac:dyDescent="0.3">
      <c r="A4" s="8" t="s">
        <v>99</v>
      </c>
      <c r="B4" s="8" t="s">
        <v>100</v>
      </c>
      <c r="C4" s="8" t="s">
        <v>101</v>
      </c>
      <c r="D4" s="8" t="s">
        <v>102</v>
      </c>
      <c r="E4" s="8" t="s">
        <v>103</v>
      </c>
    </row>
    <row r="5" spans="1:5" x14ac:dyDescent="0.3">
      <c r="A5" s="9" t="s">
        <v>104</v>
      </c>
      <c r="B5" s="9" t="s">
        <v>105</v>
      </c>
      <c r="C5" s="9">
        <v>92.2</v>
      </c>
      <c r="D5" s="9">
        <v>87.9</v>
      </c>
      <c r="E5" s="12"/>
    </row>
    <row r="6" spans="1:5" x14ac:dyDescent="0.3">
      <c r="A6" s="9"/>
      <c r="B6" s="9"/>
      <c r="C6" s="9"/>
      <c r="D6" s="9"/>
      <c r="E6" s="12"/>
    </row>
    <row r="7" spans="1:5" x14ac:dyDescent="0.3">
      <c r="A7" s="9"/>
      <c r="B7" s="9"/>
      <c r="C7" s="9"/>
      <c r="D7" s="9"/>
      <c r="E7" s="12"/>
    </row>
    <row r="8" spans="1:5" x14ac:dyDescent="0.3">
      <c r="A8" s="9"/>
      <c r="B8" s="9"/>
      <c r="C8" s="9"/>
      <c r="D8" s="9"/>
      <c r="E8" s="12"/>
    </row>
    <row r="9" spans="1:5" x14ac:dyDescent="0.3">
      <c r="A9" s="9"/>
      <c r="B9" s="9"/>
      <c r="C9" s="9"/>
      <c r="D9" s="9"/>
      <c r="E9" s="12"/>
    </row>
    <row r="10" spans="1:5" x14ac:dyDescent="0.3">
      <c r="A10" s="9"/>
      <c r="B10" s="9"/>
      <c r="C10" s="9"/>
      <c r="D10" s="9"/>
      <c r="E10" s="9"/>
    </row>
    <row r="11" spans="1:5" x14ac:dyDescent="0.3">
      <c r="A11" s="9"/>
      <c r="B11" s="9"/>
      <c r="C11" s="9"/>
      <c r="D11" s="9"/>
      <c r="E11" s="9"/>
    </row>
    <row r="12" spans="1:5" x14ac:dyDescent="0.3">
      <c r="A12" s="9"/>
      <c r="B12" s="9"/>
      <c r="C12" s="9"/>
      <c r="D12" s="9"/>
      <c r="E12" s="9"/>
    </row>
    <row r="13" spans="1:5" x14ac:dyDescent="0.3">
      <c r="A13" s="9"/>
      <c r="B13" s="9"/>
      <c r="C13" s="9"/>
      <c r="D13" s="9"/>
      <c r="E13" s="9"/>
    </row>
    <row r="14" spans="1:5" x14ac:dyDescent="0.3">
      <c r="A14" s="9"/>
      <c r="B14" s="9"/>
      <c r="C14" s="9"/>
      <c r="D14" s="9"/>
      <c r="E14" s="9"/>
    </row>
    <row r="15" spans="1:5" x14ac:dyDescent="0.3">
      <c r="A15" s="9"/>
      <c r="B15" s="9"/>
      <c r="C15" s="9"/>
      <c r="D15" s="9"/>
      <c r="E15" s="9"/>
    </row>
    <row r="16" spans="1:5" x14ac:dyDescent="0.3">
      <c r="A16" s="9"/>
      <c r="B16" s="9"/>
      <c r="C16" s="9"/>
      <c r="D16" s="9"/>
      <c r="E16" s="9"/>
    </row>
    <row r="17" spans="1:5" x14ac:dyDescent="0.3">
      <c r="A17" s="9"/>
      <c r="B17" s="9"/>
      <c r="C17" s="9"/>
      <c r="D17" s="9"/>
      <c r="E17" s="9"/>
    </row>
    <row r="18" spans="1:5" x14ac:dyDescent="0.3">
      <c r="A18" s="9"/>
      <c r="B18" s="9"/>
      <c r="C18" s="9"/>
      <c r="D18" s="9"/>
      <c r="E18" s="9"/>
    </row>
    <row r="19" spans="1:5" x14ac:dyDescent="0.3">
      <c r="A19" s="9"/>
      <c r="B19" s="9"/>
      <c r="C19" s="9"/>
      <c r="D19" s="9"/>
      <c r="E19" s="9"/>
    </row>
    <row r="20" spans="1:5" x14ac:dyDescent="0.3">
      <c r="A20" s="9"/>
      <c r="B20" s="9"/>
      <c r="C20" s="9"/>
      <c r="D20" s="9"/>
      <c r="E20" s="9"/>
    </row>
    <row r="21" spans="1:5" x14ac:dyDescent="0.3">
      <c r="A21" s="9"/>
      <c r="B21" s="9"/>
      <c r="C21" s="9"/>
      <c r="D21" s="9"/>
      <c r="E21" s="9"/>
    </row>
    <row r="22" spans="1:5" x14ac:dyDescent="0.3">
      <c r="A22" s="9"/>
      <c r="B22" s="9"/>
      <c r="C22" s="9"/>
      <c r="D22" s="9"/>
      <c r="E22" s="9"/>
    </row>
    <row r="23" spans="1:5" x14ac:dyDescent="0.3">
      <c r="A23" s="9"/>
      <c r="B23" s="9"/>
      <c r="C23" s="9"/>
      <c r="D23" s="9"/>
      <c r="E23" s="9"/>
    </row>
    <row r="24" spans="1:5" x14ac:dyDescent="0.3">
      <c r="A24" s="9"/>
      <c r="B24" s="9"/>
      <c r="C24" s="9"/>
      <c r="D24" s="9"/>
      <c r="E24" s="9"/>
    </row>
    <row r="25" spans="1:5" x14ac:dyDescent="0.3">
      <c r="A25" s="9"/>
      <c r="B25" s="9"/>
      <c r="C25" s="9"/>
      <c r="D25" s="9"/>
      <c r="E25" s="9"/>
    </row>
    <row r="26" spans="1:5" x14ac:dyDescent="0.3">
      <c r="A26" s="9"/>
      <c r="B26" s="9"/>
      <c r="C26" s="9"/>
      <c r="D26" s="9"/>
      <c r="E26" s="9"/>
    </row>
    <row r="27" spans="1:5" x14ac:dyDescent="0.3">
      <c r="A27" s="9"/>
      <c r="B27" s="9"/>
      <c r="C27" s="9"/>
      <c r="D27" s="9"/>
      <c r="E27" s="9"/>
    </row>
    <row r="28" spans="1:5" x14ac:dyDescent="0.3">
      <c r="A28" s="9"/>
      <c r="B28" s="9"/>
      <c r="C28" s="9"/>
      <c r="D28" s="9"/>
      <c r="E28" s="9"/>
    </row>
    <row r="29" spans="1:5" x14ac:dyDescent="0.3">
      <c r="A29" s="9"/>
      <c r="B29" s="9"/>
      <c r="C29" s="9"/>
      <c r="D29" s="9"/>
      <c r="E29" s="9"/>
    </row>
    <row r="30" spans="1:5" x14ac:dyDescent="0.3">
      <c r="A30" s="9"/>
      <c r="B30" s="9"/>
      <c r="C30" s="9"/>
      <c r="D30" s="9"/>
      <c r="E30" s="9"/>
    </row>
    <row r="31" spans="1:5" x14ac:dyDescent="0.3">
      <c r="A31" s="9"/>
      <c r="B31" s="9"/>
      <c r="C31" s="9"/>
      <c r="D31" s="9"/>
      <c r="E31" s="9"/>
    </row>
    <row r="32" spans="1:5" x14ac:dyDescent="0.3">
      <c r="A32" s="9"/>
      <c r="B32" s="9"/>
      <c r="C32" s="9"/>
      <c r="D32" s="9"/>
      <c r="E32" s="9"/>
    </row>
    <row r="33" spans="1:5" x14ac:dyDescent="0.3">
      <c r="A33" s="9"/>
      <c r="B33" s="9"/>
      <c r="C33" s="9"/>
      <c r="D33" s="9"/>
      <c r="E33" s="9"/>
    </row>
    <row r="34" spans="1:5" x14ac:dyDescent="0.3">
      <c r="A34" s="9"/>
      <c r="B34" s="9"/>
      <c r="C34" s="9"/>
      <c r="D34" s="9"/>
      <c r="E34" s="9"/>
    </row>
    <row r="35" spans="1:5" x14ac:dyDescent="0.3">
      <c r="A35" s="9"/>
      <c r="B35" s="9"/>
      <c r="C35" s="9"/>
      <c r="D35" s="9"/>
      <c r="E35" s="9"/>
    </row>
    <row r="36" spans="1:5" x14ac:dyDescent="0.3">
      <c r="A36" s="9"/>
      <c r="B36" s="9"/>
      <c r="C36" s="9"/>
      <c r="D36" s="9"/>
      <c r="E36" s="9"/>
    </row>
    <row r="37" spans="1:5" x14ac:dyDescent="0.3">
      <c r="A37" s="9"/>
      <c r="B37" s="9"/>
      <c r="C37" s="9"/>
      <c r="D37" s="9"/>
      <c r="E37" s="9"/>
    </row>
    <row r="38" spans="1:5" x14ac:dyDescent="0.3">
      <c r="A38" s="9"/>
      <c r="B38" s="9"/>
      <c r="C38" s="9"/>
      <c r="D38" s="9"/>
      <c r="E38" s="9"/>
    </row>
    <row r="39" spans="1:5" x14ac:dyDescent="0.3">
      <c r="A39" s="9"/>
      <c r="B39" s="9"/>
      <c r="C39" s="9"/>
      <c r="D39" s="9"/>
      <c r="E39" s="9"/>
    </row>
    <row r="40" spans="1:5" x14ac:dyDescent="0.3">
      <c r="A40" s="9"/>
      <c r="B40" s="9"/>
      <c r="C40" s="9"/>
      <c r="D40" s="9"/>
      <c r="E40" s="9"/>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300"/>
  <sheetViews>
    <sheetView showGridLines="0" zoomScaleNormal="100" workbookViewId="0">
      <pane ySplit="4" topLeftCell="A5" activePane="bottomLeft" state="frozen"/>
      <selection pane="bottomLeft" activeCell="A35" sqref="A35"/>
    </sheetView>
  </sheetViews>
  <sheetFormatPr defaultColWidth="8.6640625" defaultRowHeight="14.4" x14ac:dyDescent="0.3"/>
  <cols>
    <col min="1" max="1" width="12" customWidth="1"/>
    <col min="2" max="2" width="18" customWidth="1"/>
    <col min="3" max="3" width="20" customWidth="1"/>
    <col min="4" max="4" width="12" customWidth="1"/>
    <col min="5" max="6" width="10" customWidth="1"/>
    <col min="7" max="7" width="12" customWidth="1"/>
    <col min="8" max="9" width="13" customWidth="1"/>
    <col min="10" max="12" width="10" customWidth="1"/>
    <col min="13" max="15" width="13" customWidth="1"/>
    <col min="16" max="16" width="12" customWidth="1"/>
    <col min="17" max="17" width="13" customWidth="1"/>
    <col min="18" max="18" width="15" customWidth="1"/>
    <col min="19" max="22" width="12" customWidth="1"/>
    <col min="23" max="23" width="13" customWidth="1"/>
    <col min="24" max="24" width="15" customWidth="1"/>
    <col min="25" max="28" width="12" customWidth="1"/>
    <col min="29" max="29" width="13" customWidth="1"/>
    <col min="30" max="30" width="26" customWidth="1"/>
  </cols>
  <sheetData>
    <row r="1" spans="1:30" ht="21" customHeight="1" x14ac:dyDescent="0.4">
      <c r="A1" s="29" t="s">
        <v>106</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row>
    <row r="2" spans="1:30" ht="84" customHeight="1" x14ac:dyDescent="0.3">
      <c r="A2" s="30" t="s">
        <v>107</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row>
    <row r="4" spans="1:30" ht="49.5" customHeight="1" x14ac:dyDescent="0.3">
      <c r="A4" s="8" t="s">
        <v>108</v>
      </c>
      <c r="B4" s="8" t="s">
        <v>109</v>
      </c>
      <c r="C4" s="8" t="s">
        <v>58</v>
      </c>
      <c r="D4" s="8" t="s">
        <v>110</v>
      </c>
      <c r="E4" s="8" t="s">
        <v>111</v>
      </c>
      <c r="F4" s="8" t="s">
        <v>112</v>
      </c>
      <c r="G4" s="8" t="s">
        <v>113</v>
      </c>
      <c r="H4" s="8" t="s">
        <v>114</v>
      </c>
      <c r="I4" s="8" t="s">
        <v>115</v>
      </c>
      <c r="J4" s="8" t="s">
        <v>116</v>
      </c>
      <c r="K4" s="8" t="s">
        <v>117</v>
      </c>
      <c r="L4" s="8" t="s">
        <v>118</v>
      </c>
      <c r="M4" s="8" t="s">
        <v>119</v>
      </c>
      <c r="N4" s="8" t="s">
        <v>120</v>
      </c>
      <c r="O4" s="8" t="s">
        <v>121</v>
      </c>
      <c r="P4" s="8" t="s">
        <v>31</v>
      </c>
      <c r="Q4" s="8" t="s">
        <v>122</v>
      </c>
      <c r="R4" s="8" t="s">
        <v>123</v>
      </c>
      <c r="S4" s="8" t="s">
        <v>124</v>
      </c>
      <c r="T4" s="8" t="s">
        <v>125</v>
      </c>
      <c r="U4" s="8" t="s">
        <v>126</v>
      </c>
      <c r="V4" s="8" t="s">
        <v>127</v>
      </c>
      <c r="W4" s="8" t="s">
        <v>128</v>
      </c>
      <c r="X4" s="8" t="s">
        <v>129</v>
      </c>
      <c r="Y4" s="8" t="s">
        <v>130</v>
      </c>
      <c r="Z4" s="8" t="s">
        <v>131</v>
      </c>
      <c r="AA4" s="8" t="s">
        <v>132</v>
      </c>
      <c r="AB4" s="8" t="s">
        <v>133</v>
      </c>
      <c r="AC4" s="8" t="s">
        <v>134</v>
      </c>
      <c r="AD4" s="8" t="s">
        <v>135</v>
      </c>
    </row>
    <row r="5" spans="1:30" x14ac:dyDescent="0.3">
      <c r="A5" s="13">
        <v>46265</v>
      </c>
      <c r="B5" s="9" t="s">
        <v>104</v>
      </c>
      <c r="C5" s="9" t="s">
        <v>53</v>
      </c>
      <c r="D5" s="9">
        <v>120</v>
      </c>
      <c r="E5" s="14">
        <v>7.5694444444444398E-2</v>
      </c>
      <c r="F5" s="14">
        <v>8.5416666666666696E-2</v>
      </c>
      <c r="G5" s="15">
        <f t="shared" ref="G5:G68" si="0">IF(OR(E5="",F5=""),"",(F5-E5)*1440)</f>
        <v>14.00000000000011</v>
      </c>
      <c r="H5" s="16"/>
      <c r="I5" s="17">
        <f>IF(H5&lt;&gt;"",H5,IF(G5="","",ROUND(G5*IFERROR(INDEX(Reference!$B$44:$B$50,MATCH(C5,Reference!$A$44:$A$50,0)),0),0)))</f>
        <v>49</v>
      </c>
      <c r="J5" s="9">
        <v>75</v>
      </c>
      <c r="K5" s="9">
        <v>81</v>
      </c>
      <c r="L5" s="17">
        <f t="shared" ref="L5:L68" si="1">IF(J5="","",IF(K5="",J5,AVERAGE(J5,K5)))</f>
        <v>78</v>
      </c>
      <c r="M5" s="17">
        <f>IFERROR(INDEX(Roster!$D$5:$D$40,MATCH(B5,Roster!$A$5:$A$40,0)),"")</f>
        <v>87.9</v>
      </c>
      <c r="N5" s="17">
        <f t="shared" ref="N5:N68" si="2">IF(OR(L5="",M5="",M5=0),"",M5-L5)</f>
        <v>9.9000000000000057</v>
      </c>
      <c r="O5" s="17">
        <f>IF(OR(C5="Bullpen",C5="Game"),IFERROR(INDEX(Reference!$B$61:$B$62,MATCH(C5,Reference!$A$61:$A$62,0)),""),IF(D5="","",VLOOKUP(D5,Reference!$A$6:$B$11,2,TRUE())))</f>
        <v>1.7</v>
      </c>
      <c r="P5" s="17">
        <f>IF(N5="","",VLOOKUP(MAX(N5,0),Reference!$A$17:$B$20,2,TRUE()))</f>
        <v>1</v>
      </c>
      <c r="Q5" s="17">
        <f>IF(AND(OR(I5="",O5="",P5=""),OR(R5="",W5=""),OR(X5="",AC5="")),"",IF(OR(I5="",O5="",P5=""),0,I5*O5*P5)+IF(OR(R5="",W5=""),0,R5*IFERROR(INDEX(Reference!$B$61:$B$62,MATCH("Bullpen",Reference!$A$61:$A$62,0)),0)*W5)+IF(OR(X5="",AC5=""),0,X5*VLOOKUP(60,Reference!$A$6:$B$11,2,TRUE())*AC5))</f>
        <v>83.3</v>
      </c>
      <c r="R5" s="16"/>
      <c r="S5" s="16"/>
      <c r="T5" s="16"/>
      <c r="U5" s="17" t="str">
        <f t="shared" ref="U5:U68" si="3">IF(S5="","",IF(T5="",S5,AVERAGE(S5,T5)))</f>
        <v/>
      </c>
      <c r="V5" s="17" t="str">
        <f t="shared" ref="V5:V68" si="4">IF(OR(U5="",M5="",M5=0),"",M5-U5)</f>
        <v/>
      </c>
      <c r="W5" s="17" t="str">
        <f>IF(V5="","",VLOOKUP(MAX(V5,0),Reference!$A$17:$B$20,2,TRUE()))</f>
        <v/>
      </c>
      <c r="X5" s="16"/>
      <c r="Y5" s="16"/>
      <c r="Z5" s="16"/>
      <c r="AA5" s="17" t="str">
        <f t="shared" ref="AA5:AA68" si="5">IF(Y5="","",IF(Z5="",Y5,AVERAGE(Y5,Z5)))</f>
        <v/>
      </c>
      <c r="AB5" s="17" t="str">
        <f t="shared" ref="AB5:AB68" si="6">IF(OR(AA5="",M5="",M5=0),"",M5-AA5)</f>
        <v/>
      </c>
      <c r="AC5" s="17" t="str">
        <f>IF(AB5="","",VLOOKUP(MAX(AB5,0),Reference!$A$17:$B$20,2,TRUE()))</f>
        <v/>
      </c>
      <c r="AD5" s="12" t="s">
        <v>136</v>
      </c>
    </row>
    <row r="6" spans="1:30" x14ac:dyDescent="0.3">
      <c r="A6" s="13">
        <v>46266</v>
      </c>
      <c r="B6" s="9" t="s">
        <v>104</v>
      </c>
      <c r="C6" s="9" t="s">
        <v>55</v>
      </c>
      <c r="D6" s="9">
        <v>75</v>
      </c>
      <c r="E6" s="14">
        <v>7.2916666666666699E-2</v>
      </c>
      <c r="F6" s="14">
        <v>8.1250000000000003E-2</v>
      </c>
      <c r="G6" s="15">
        <f t="shared" si="0"/>
        <v>11.999999999999957</v>
      </c>
      <c r="H6" s="16"/>
      <c r="I6" s="17">
        <f>IF(H6&lt;&gt;"",H6,IF(G6="","",ROUND(G6*IFERROR(INDEX(Reference!$B$44:$B$50,MATCH(C6,Reference!$A$44:$A$50,0)),0),0)))</f>
        <v>54</v>
      </c>
      <c r="J6" s="9">
        <v>72</v>
      </c>
      <c r="K6" s="9">
        <v>75</v>
      </c>
      <c r="L6" s="17">
        <f t="shared" si="1"/>
        <v>73.5</v>
      </c>
      <c r="M6" s="17">
        <f>IFERROR(INDEX(Roster!$D$5:$D$40,MATCH(B6,Roster!$A$5:$A$40,0)),"")</f>
        <v>87.9</v>
      </c>
      <c r="N6" s="17">
        <f t="shared" si="2"/>
        <v>14.400000000000006</v>
      </c>
      <c r="O6" s="17">
        <f>IF(OR(C6="Bullpen",C6="Game"),IFERROR(INDEX(Reference!$B$61:$B$62,MATCH(C6,Reference!$A$61:$A$62,0)),""),IF(D6="","",VLOOKUP(D6,Reference!$A$6:$B$11,2,TRUE())))</f>
        <v>1.3</v>
      </c>
      <c r="P6" s="17">
        <f>IF(N6="","",VLOOKUP(MAX(N6,0),Reference!$A$17:$B$20,2,TRUE()))</f>
        <v>0.6</v>
      </c>
      <c r="Q6" s="17">
        <f>IF(AND(OR(I6="",O6="",P6=""),OR(R6="",W6=""),OR(X6="",AC6="")),"",IF(OR(I6="",O6="",P6=""),0,I6*O6*P6)+IF(OR(R6="",W6=""),0,R6*IFERROR(INDEX(Reference!$B$61:$B$62,MATCH("Bullpen",Reference!$A$61:$A$62,0)),0)*W6)+IF(OR(X6="",AC6=""),0,X6*VLOOKUP(60,Reference!$A$6:$B$11,2,TRUE())*AC6))</f>
        <v>42.12</v>
      </c>
      <c r="R6" s="16"/>
      <c r="S6" s="16"/>
      <c r="T6" s="16"/>
      <c r="U6" s="17" t="str">
        <f t="shared" si="3"/>
        <v/>
      </c>
      <c r="V6" s="17" t="str">
        <f t="shared" si="4"/>
        <v/>
      </c>
      <c r="W6" s="17" t="str">
        <f>IF(V6="","",VLOOKUP(MAX(V6,0),Reference!$A$17:$B$20,2,TRUE()))</f>
        <v/>
      </c>
      <c r="X6" s="9"/>
      <c r="Y6" s="9"/>
      <c r="Z6" s="9"/>
      <c r="AA6" s="17" t="str">
        <f t="shared" si="5"/>
        <v/>
      </c>
      <c r="AB6" s="17" t="str">
        <f t="shared" si="6"/>
        <v/>
      </c>
      <c r="AC6" s="17" t="str">
        <f>IF(AB6="","",VLOOKUP(MAX(AB6,0),Reference!$A$17:$B$20,2,TRUE()))</f>
        <v/>
      </c>
      <c r="AD6" s="12" t="s">
        <v>137</v>
      </c>
    </row>
    <row r="7" spans="1:30" x14ac:dyDescent="0.3">
      <c r="A7" s="13">
        <v>46267</v>
      </c>
      <c r="B7" s="9" t="s">
        <v>104</v>
      </c>
      <c r="C7" s="9" t="s">
        <v>53</v>
      </c>
      <c r="D7" s="9">
        <v>120</v>
      </c>
      <c r="E7" s="14">
        <v>7.5694444444444398E-2</v>
      </c>
      <c r="F7" s="14">
        <v>8.5416666666666696E-2</v>
      </c>
      <c r="G7" s="15">
        <f t="shared" si="0"/>
        <v>14.00000000000011</v>
      </c>
      <c r="H7" s="9"/>
      <c r="I7" s="17">
        <f>IF(H7&lt;&gt;"",H7,IF(G7="","",ROUND(G7*IFERROR(INDEX(Reference!$B$44:$B$50,MATCH(C7,Reference!$A$44:$A$50,0)),0),0)))</f>
        <v>49</v>
      </c>
      <c r="J7" s="9">
        <v>75</v>
      </c>
      <c r="K7" s="9">
        <v>81</v>
      </c>
      <c r="L7" s="17">
        <f t="shared" si="1"/>
        <v>78</v>
      </c>
      <c r="M7" s="17">
        <f>IFERROR(INDEX(Roster!$D$5:$D$40,MATCH(B7,Roster!$A$5:$A$40,0)),"")</f>
        <v>87.9</v>
      </c>
      <c r="N7" s="17">
        <f t="shared" si="2"/>
        <v>9.9000000000000057</v>
      </c>
      <c r="O7" s="17">
        <f>IF(OR(C7="Bullpen",C7="Game"),IFERROR(INDEX(Reference!$B$61:$B$62,MATCH(C7,Reference!$A$61:$A$62,0)),""),IF(D7="","",VLOOKUP(D7,Reference!$A$6:$B$11,2,TRUE())))</f>
        <v>1.7</v>
      </c>
      <c r="P7" s="17">
        <f>IF(N7="","",VLOOKUP(MAX(N7,0),Reference!$A$17:$B$20,2,TRUE()))</f>
        <v>1</v>
      </c>
      <c r="Q7" s="17">
        <f>IF(AND(OR(I7="",O7="",P7=""),OR(R7="",W7=""),OR(X7="",AC7="")),"",IF(OR(I7="",O7="",P7=""),0,I7*O7*P7)+IF(OR(R7="",W7=""),0,R7*IFERROR(INDEX(Reference!$B$61:$B$62,MATCH("Bullpen",Reference!$A$61:$A$62,0)),0)*W7)+IF(OR(X7="",AC7=""),0,X7*VLOOKUP(60,Reference!$A$6:$B$11,2,TRUE())*AC7))</f>
        <v>83.3</v>
      </c>
      <c r="R7" s="16"/>
      <c r="S7" s="16"/>
      <c r="T7" s="16"/>
      <c r="U7" s="17" t="str">
        <f t="shared" si="3"/>
        <v/>
      </c>
      <c r="V7" s="17" t="str">
        <f t="shared" si="4"/>
        <v/>
      </c>
      <c r="W7" s="17" t="str">
        <f>IF(V7="","",VLOOKUP(MAX(V7,0),Reference!$A$17:$B$20,2,TRUE()))</f>
        <v/>
      </c>
      <c r="X7" s="16"/>
      <c r="Y7" s="16"/>
      <c r="Z7" s="16"/>
      <c r="AA7" s="17" t="str">
        <f t="shared" si="5"/>
        <v/>
      </c>
      <c r="AB7" s="17" t="str">
        <f t="shared" si="6"/>
        <v/>
      </c>
      <c r="AC7" s="17" t="str">
        <f>IF(AB7="","",VLOOKUP(MAX(AB7,0),Reference!$A$17:$B$20,2,TRUE()))</f>
        <v/>
      </c>
      <c r="AD7" s="12" t="s">
        <v>138</v>
      </c>
    </row>
    <row r="8" spans="1:30" x14ac:dyDescent="0.3">
      <c r="A8" s="13">
        <v>46268</v>
      </c>
      <c r="B8" s="9" t="s">
        <v>104</v>
      </c>
      <c r="C8" s="9" t="s">
        <v>53</v>
      </c>
      <c r="D8" s="9">
        <v>120</v>
      </c>
      <c r="E8" s="18">
        <v>7.2916666666666699E-2</v>
      </c>
      <c r="F8" s="18">
        <v>8.6805555555555594E-2</v>
      </c>
      <c r="G8" s="15">
        <f t="shared" si="0"/>
        <v>20.000000000000007</v>
      </c>
      <c r="H8" s="9"/>
      <c r="I8" s="17">
        <f>IF(H8&lt;&gt;"",H8,IF(G8="","",ROUND(G8*IFERROR(INDEX(Reference!$B$44:$B$50,MATCH(C8,Reference!$A$44:$A$50,0)),0),0)))</f>
        <v>70</v>
      </c>
      <c r="J8" s="9">
        <v>75</v>
      </c>
      <c r="K8" s="9">
        <v>84</v>
      </c>
      <c r="L8" s="17">
        <f t="shared" si="1"/>
        <v>79.5</v>
      </c>
      <c r="M8" s="17">
        <f>IFERROR(INDEX(Roster!$D$5:$D$40,MATCH(B8,Roster!$A$5:$A$40,0)),"")</f>
        <v>87.9</v>
      </c>
      <c r="N8" s="17">
        <f t="shared" si="2"/>
        <v>8.4000000000000057</v>
      </c>
      <c r="O8" s="17">
        <f>IF(OR(C8="Bullpen",C8="Game"),IFERROR(INDEX(Reference!$B$61:$B$62,MATCH(C8,Reference!$A$61:$A$62,0)),""),IF(D8="","",VLOOKUP(D8,Reference!$A$6:$B$11,2,TRUE())))</f>
        <v>1.7</v>
      </c>
      <c r="P8" s="17">
        <f>IF(N8="","",VLOOKUP(MAX(N8,0),Reference!$A$17:$B$20,2,TRUE()))</f>
        <v>1</v>
      </c>
      <c r="Q8" s="17">
        <f>IF(AND(OR(I8="",O8="",P8=""),OR(R8="",W8=""),OR(X8="",AC8="")),"",IF(OR(I8="",O8="",P8=""),0,I8*O8*P8)+IF(OR(R8="",W8=""),0,R8*IFERROR(INDEX(Reference!$B$61:$B$62,MATCH("Bullpen",Reference!$A$61:$A$62,0)),0)*W8)+IF(OR(X8="",AC8=""),0,X8*VLOOKUP(60,Reference!$A$6:$B$11,2,TRUE())*AC8))</f>
        <v>119</v>
      </c>
      <c r="R8" s="16"/>
      <c r="S8" s="16"/>
      <c r="T8" s="16"/>
      <c r="U8" s="17" t="str">
        <f t="shared" si="3"/>
        <v/>
      </c>
      <c r="V8" s="17" t="str">
        <f t="shared" si="4"/>
        <v/>
      </c>
      <c r="W8" s="17" t="str">
        <f>IF(V8="","",VLOOKUP(MAX(V8,0),Reference!$A$17:$B$20,2,TRUE()))</f>
        <v/>
      </c>
      <c r="X8" s="16"/>
      <c r="Y8" s="16"/>
      <c r="Z8" s="16"/>
      <c r="AA8" s="17" t="str">
        <f t="shared" si="5"/>
        <v/>
      </c>
      <c r="AB8" s="17" t="str">
        <f t="shared" si="6"/>
        <v/>
      </c>
      <c r="AC8" s="17" t="str">
        <f>IF(AB8="","",VLOOKUP(MAX(AB8,0),Reference!$A$17:$B$20,2,TRUE()))</f>
        <v/>
      </c>
      <c r="AD8" s="12" t="s">
        <v>139</v>
      </c>
    </row>
    <row r="9" spans="1:30" x14ac:dyDescent="0.3">
      <c r="A9" s="13">
        <v>46269</v>
      </c>
      <c r="B9" s="9" t="s">
        <v>104</v>
      </c>
      <c r="C9" s="9" t="s">
        <v>49</v>
      </c>
      <c r="D9" s="16">
        <v>0</v>
      </c>
      <c r="E9" s="18"/>
      <c r="F9" s="18"/>
      <c r="G9" s="15" t="str">
        <f t="shared" si="0"/>
        <v/>
      </c>
      <c r="H9" s="9"/>
      <c r="I9" s="17" t="str">
        <f>IF(H9&lt;&gt;"",H9,IF(G9="","",ROUND(G9*IFERROR(INDEX(Reference!$B$44:$B$50,MATCH(C9,Reference!$A$44:$A$50,0)),0),0)))</f>
        <v/>
      </c>
      <c r="J9" s="9"/>
      <c r="K9" s="9"/>
      <c r="L9" s="17" t="str">
        <f t="shared" si="1"/>
        <v/>
      </c>
      <c r="M9" s="17">
        <f>IFERROR(INDEX(Roster!$D$5:$D$40,MATCH(B9,Roster!$A$5:$A$40,0)),"")</f>
        <v>87.9</v>
      </c>
      <c r="N9" s="17" t="str">
        <f t="shared" si="2"/>
        <v/>
      </c>
      <c r="O9" s="17">
        <f>IF(OR(C9="Bullpen",C9="Game"),IFERROR(INDEX(Reference!$B$61:$B$62,MATCH(C9,Reference!$A$61:$A$62,0)),""),IF(D9="","",VLOOKUP(D9,Reference!$A$6:$B$11,2,TRUE())))</f>
        <v>1</v>
      </c>
      <c r="P9" s="17" t="str">
        <f>IF(N9="","",VLOOKUP(MAX(N9,0),Reference!$A$17:$B$20,2,TRUE()))</f>
        <v/>
      </c>
      <c r="Q9" s="17" t="str">
        <f>IF(AND(OR(I9="",O9="",P9=""),OR(R9="",W9=""),OR(X9="",AC9="")),"",IF(OR(I9="",O9="",P9=""),0,I9*O9*P9)+IF(OR(R9="",W9=""),0,R9*IFERROR(INDEX(Reference!$B$61:$B$62,MATCH("Bullpen",Reference!$A$61:$A$62,0)),0)*W9)+IF(OR(X9="",AC9=""),0,X9*VLOOKUP(60,Reference!$A$6:$B$11,2,TRUE())*AC9))</f>
        <v/>
      </c>
      <c r="R9" s="16"/>
      <c r="S9" s="16"/>
      <c r="T9" s="16"/>
      <c r="U9" s="17" t="str">
        <f t="shared" si="3"/>
        <v/>
      </c>
      <c r="V9" s="17" t="str">
        <f t="shared" si="4"/>
        <v/>
      </c>
      <c r="W9" s="17" t="str">
        <f>IF(V9="","",VLOOKUP(MAX(V9,0),Reference!$A$17:$B$20,2,TRUE()))</f>
        <v/>
      </c>
      <c r="X9" s="16"/>
      <c r="Y9" s="16"/>
      <c r="Z9" s="16"/>
      <c r="AA9" s="17" t="str">
        <f t="shared" si="5"/>
        <v/>
      </c>
      <c r="AB9" s="17" t="str">
        <f t="shared" si="6"/>
        <v/>
      </c>
      <c r="AC9" s="17" t="str">
        <f>IF(AB9="","",VLOOKUP(MAX(AB9,0),Reference!$A$17:$B$20,2,TRUE()))</f>
        <v/>
      </c>
      <c r="AD9" s="12" t="s">
        <v>140</v>
      </c>
    </row>
    <row r="10" spans="1:30" x14ac:dyDescent="0.3">
      <c r="A10" s="13">
        <v>46270</v>
      </c>
      <c r="B10" s="9" t="s">
        <v>104</v>
      </c>
      <c r="C10" s="9" t="s">
        <v>49</v>
      </c>
      <c r="D10" s="16">
        <v>0</v>
      </c>
      <c r="E10" s="18"/>
      <c r="F10" s="18"/>
      <c r="G10" s="15" t="str">
        <f t="shared" si="0"/>
        <v/>
      </c>
      <c r="H10" s="9"/>
      <c r="I10" s="17" t="str">
        <f>IF(H10&lt;&gt;"",H10,IF(G10="","",ROUND(G10*IFERROR(INDEX(Reference!$B$44:$B$50,MATCH(C10,Reference!$A$44:$A$50,0)),0),0)))</f>
        <v/>
      </c>
      <c r="J10" s="9"/>
      <c r="K10" s="9"/>
      <c r="L10" s="17" t="str">
        <f t="shared" si="1"/>
        <v/>
      </c>
      <c r="M10" s="17">
        <f>IFERROR(INDEX(Roster!$D$5:$D$40,MATCH(B10,Roster!$A$5:$A$40,0)),"")</f>
        <v>87.9</v>
      </c>
      <c r="N10" s="17" t="str">
        <f t="shared" si="2"/>
        <v/>
      </c>
      <c r="O10" s="17">
        <f>IF(OR(C10="Bullpen",C10="Game"),IFERROR(INDEX(Reference!$B$61:$B$62,MATCH(C10,Reference!$A$61:$A$62,0)),""),IF(D10="","",VLOOKUP(D10,Reference!$A$6:$B$11,2,TRUE())))</f>
        <v>1</v>
      </c>
      <c r="P10" s="17" t="str">
        <f>IF(N10="","",VLOOKUP(MAX(N10,0),Reference!$A$17:$B$20,2,TRUE()))</f>
        <v/>
      </c>
      <c r="Q10" s="17" t="str">
        <f>IF(AND(OR(I10="",O10="",P10=""),OR(R10="",W10=""),OR(X10="",AC10="")),"",IF(OR(I10="",O10="",P10=""),0,I10*O10*P10)+IF(OR(R10="",W10=""),0,R10*IFERROR(INDEX(Reference!$B$61:$B$62,MATCH("Bullpen",Reference!$A$61:$A$62,0)),0)*W10)+IF(OR(X10="",AC10=""),0,X10*VLOOKUP(60,Reference!$A$6:$B$11,2,TRUE())*AC10))</f>
        <v/>
      </c>
      <c r="R10" s="9"/>
      <c r="S10" s="9"/>
      <c r="T10" s="9"/>
      <c r="U10" s="17" t="str">
        <f t="shared" si="3"/>
        <v/>
      </c>
      <c r="V10" s="17" t="str">
        <f t="shared" si="4"/>
        <v/>
      </c>
      <c r="W10" s="17" t="str">
        <f>IF(V10="","",VLOOKUP(MAX(V10,0),Reference!$A$17:$B$20,2,TRUE()))</f>
        <v/>
      </c>
      <c r="X10" s="16"/>
      <c r="Y10" s="16"/>
      <c r="Z10" s="16"/>
      <c r="AA10" s="17" t="str">
        <f t="shared" si="5"/>
        <v/>
      </c>
      <c r="AB10" s="17" t="str">
        <f t="shared" si="6"/>
        <v/>
      </c>
      <c r="AC10" s="17" t="str">
        <f>IF(AB10="","",VLOOKUP(MAX(AB10,0),Reference!$A$17:$B$20,2,TRUE()))</f>
        <v/>
      </c>
      <c r="AD10" s="12" t="s">
        <v>141</v>
      </c>
    </row>
    <row r="11" spans="1:30" x14ac:dyDescent="0.3">
      <c r="A11" s="19">
        <v>46271</v>
      </c>
      <c r="B11" s="16" t="s">
        <v>104</v>
      </c>
      <c r="C11" s="16" t="s">
        <v>53</v>
      </c>
      <c r="D11" s="16">
        <v>120</v>
      </c>
      <c r="E11" s="18">
        <v>7.2916666666666699E-2</v>
      </c>
      <c r="F11" s="18">
        <v>8.6805555555555594E-2</v>
      </c>
      <c r="G11" s="15">
        <f t="shared" si="0"/>
        <v>20.000000000000007</v>
      </c>
      <c r="H11" s="16"/>
      <c r="I11" s="17">
        <f>IF(H11&lt;&gt;"",H11,IF(G11="","",ROUND(G11*IFERROR(INDEX(Reference!$B$44:$B$50,MATCH(C11,Reference!$A$44:$A$50,0)),0),0)))</f>
        <v>70</v>
      </c>
      <c r="J11" s="16">
        <v>75</v>
      </c>
      <c r="K11" s="16">
        <v>81</v>
      </c>
      <c r="L11" s="17">
        <f t="shared" si="1"/>
        <v>78</v>
      </c>
      <c r="M11" s="17">
        <f>IFERROR(INDEX(Roster!$D$5:$D$40,MATCH(B11,Roster!$A$5:$A$40,0)),"")</f>
        <v>87.9</v>
      </c>
      <c r="N11" s="17">
        <f t="shared" si="2"/>
        <v>9.9000000000000057</v>
      </c>
      <c r="O11" s="17">
        <f>IF(OR(C11="Bullpen",C11="Game"),IFERROR(INDEX(Reference!$B$61:$B$62,MATCH(C11,Reference!$A$61:$A$62,0)),""),IF(D11="","",VLOOKUP(D11,Reference!$A$6:$B$11,2,TRUE())))</f>
        <v>1.7</v>
      </c>
      <c r="P11" s="17">
        <f>IF(N11="","",VLOOKUP(MAX(N11,0),Reference!$A$17:$B$20,2,TRUE()))</f>
        <v>1</v>
      </c>
      <c r="Q11" s="17">
        <f>IF(AND(OR(I11="",O11="",P11=""),OR(R11="",W11=""),OR(X11="",AC11="")),"",IF(OR(I11="",O11="",P11=""),0,I11*O11*P11)+IF(OR(R11="",W11=""),0,R11*IFERROR(INDEX(Reference!$B$61:$B$62,MATCH("Bullpen",Reference!$A$61:$A$62,0)),0)*W11)+IF(OR(X11="",AC11=""),0,X11*VLOOKUP(60,Reference!$A$6:$B$11,2,TRUE())*AC11))</f>
        <v>119</v>
      </c>
      <c r="R11" s="16"/>
      <c r="S11" s="16"/>
      <c r="T11" s="16"/>
      <c r="U11" s="17" t="str">
        <f t="shared" si="3"/>
        <v/>
      </c>
      <c r="V11" s="17" t="str">
        <f t="shared" si="4"/>
        <v/>
      </c>
      <c r="W11" s="17" t="str">
        <f>IF(V11="","",VLOOKUP(MAX(V11,0),Reference!$A$17:$B$20,2,TRUE()))</f>
        <v/>
      </c>
      <c r="X11" s="16"/>
      <c r="Y11" s="16"/>
      <c r="Z11" s="16"/>
      <c r="AA11" s="17" t="str">
        <f t="shared" si="5"/>
        <v/>
      </c>
      <c r="AB11" s="17" t="str">
        <f t="shared" si="6"/>
        <v/>
      </c>
      <c r="AC11" s="17" t="str">
        <f>IF(AB11="","",VLOOKUP(MAX(AB11,0),Reference!$A$17:$B$20,2,TRUE()))</f>
        <v/>
      </c>
      <c r="AD11" s="16"/>
    </row>
    <row r="12" spans="1:30" x14ac:dyDescent="0.3">
      <c r="A12" s="19">
        <v>46272</v>
      </c>
      <c r="B12" s="16" t="s">
        <v>104</v>
      </c>
      <c r="C12" s="16" t="s">
        <v>55</v>
      </c>
      <c r="D12" s="16">
        <v>75</v>
      </c>
      <c r="E12" s="18">
        <v>7.2916666666666699E-2</v>
      </c>
      <c r="F12" s="18">
        <v>7.9861111111111105E-2</v>
      </c>
      <c r="G12" s="15">
        <f t="shared" si="0"/>
        <v>9.9999999999999449</v>
      </c>
      <c r="H12" s="16"/>
      <c r="I12" s="17">
        <f>IF(H12&lt;&gt;"",H12,IF(G12="","",ROUND(G12*IFERROR(INDEX(Reference!$B$44:$B$50,MATCH(C12,Reference!$A$44:$A$50,0)),0),0)))</f>
        <v>45</v>
      </c>
      <c r="J12" s="16">
        <v>72</v>
      </c>
      <c r="K12" s="16">
        <v>75</v>
      </c>
      <c r="L12" s="17">
        <f t="shared" si="1"/>
        <v>73.5</v>
      </c>
      <c r="M12" s="17">
        <f>IFERROR(INDEX(Roster!$D$5:$D$40,MATCH(B12,Roster!$A$5:$A$40,0)),"")</f>
        <v>87.9</v>
      </c>
      <c r="N12" s="17">
        <f t="shared" si="2"/>
        <v>14.400000000000006</v>
      </c>
      <c r="O12" s="17">
        <f>IF(OR(C12="Bullpen",C12="Game"),IFERROR(INDEX(Reference!$B$61:$B$62,MATCH(C12,Reference!$A$61:$A$62,0)),""),IF(D12="","",VLOOKUP(D12,Reference!$A$6:$B$11,2,TRUE())))</f>
        <v>1.3</v>
      </c>
      <c r="P12" s="17">
        <f>IF(N12="","",VLOOKUP(MAX(N12,0),Reference!$A$17:$B$20,2,TRUE()))</f>
        <v>0.6</v>
      </c>
      <c r="Q12" s="17">
        <f>IF(AND(OR(I12="",O12="",P12=""),OR(R12="",W12=""),OR(X12="",AC12="")),"",IF(OR(I12="",O12="",P12=""),0,I12*O12*P12)+IF(OR(R12="",W12=""),0,R12*IFERROR(INDEX(Reference!$B$61:$B$62,MATCH("Bullpen",Reference!$A$61:$A$62,0)),0)*W12)+IF(OR(X12="",AC12=""),0,X12*VLOOKUP(60,Reference!$A$6:$B$11,2,TRUE())*AC12))</f>
        <v>35.1</v>
      </c>
      <c r="R12" s="16"/>
      <c r="S12" s="16"/>
      <c r="T12" s="16"/>
      <c r="U12" s="17" t="str">
        <f t="shared" si="3"/>
        <v/>
      </c>
      <c r="V12" s="17" t="str">
        <f t="shared" si="4"/>
        <v/>
      </c>
      <c r="W12" s="17" t="str">
        <f>IF(V12="","",VLOOKUP(MAX(V12,0),Reference!$A$17:$B$20,2,TRUE()))</f>
        <v/>
      </c>
      <c r="X12" s="16"/>
      <c r="Y12" s="16"/>
      <c r="Z12" s="16"/>
      <c r="AA12" s="17" t="str">
        <f t="shared" si="5"/>
        <v/>
      </c>
      <c r="AB12" s="17" t="str">
        <f t="shared" si="6"/>
        <v/>
      </c>
      <c r="AC12" s="17" t="str">
        <f>IF(AB12="","",VLOOKUP(MAX(AB12,0),Reference!$A$17:$B$20,2,TRUE()))</f>
        <v/>
      </c>
      <c r="AD12" s="16"/>
    </row>
    <row r="13" spans="1:30" x14ac:dyDescent="0.3">
      <c r="A13" s="19">
        <v>46273</v>
      </c>
      <c r="B13" s="16" t="s">
        <v>104</v>
      </c>
      <c r="C13" s="16" t="s">
        <v>52</v>
      </c>
      <c r="D13" s="16"/>
      <c r="E13" s="18">
        <v>7.2916666666666699E-2</v>
      </c>
      <c r="F13" s="18"/>
      <c r="G13" s="15" t="str">
        <f t="shared" si="0"/>
        <v/>
      </c>
      <c r="H13" s="16"/>
      <c r="I13" s="17" t="str">
        <f>IF(H13&lt;&gt;"",H13,IF(G13="","",ROUND(G13*IFERROR(INDEX(Reference!$B$44:$B$50,MATCH(C13,Reference!$A$44:$A$50,0)),0),0)))</f>
        <v/>
      </c>
      <c r="J13" s="16">
        <v>86</v>
      </c>
      <c r="K13" s="16">
        <v>88</v>
      </c>
      <c r="L13" s="17">
        <f t="shared" si="1"/>
        <v>87</v>
      </c>
      <c r="M13" s="17">
        <f>IFERROR(INDEX(Roster!$D$5:$D$40,MATCH(B13,Roster!$A$5:$A$40,0)),"")</f>
        <v>87.9</v>
      </c>
      <c r="N13" s="17">
        <f t="shared" si="2"/>
        <v>0.90000000000000568</v>
      </c>
      <c r="O13" s="17">
        <f>IF(OR(C13="Bullpen",C13="Game"),IFERROR(INDEX(Reference!$B$61:$B$62,MATCH(C13,Reference!$A$61:$A$62,0)),""),IF(D13="","",VLOOKUP(D13,Reference!$A$6:$B$11,2,TRUE())))</f>
        <v>3</v>
      </c>
      <c r="P13" s="17">
        <f>IF(N13="","",VLOOKUP(MAX(N13,0),Reference!$A$17:$B$20,2,TRUE()))</f>
        <v>2</v>
      </c>
      <c r="Q13" s="17" t="str">
        <f>IF(AND(OR(I13="",O13="",P13=""),OR(R13="",W13=""),OR(X13="",AC13="")),"",IF(OR(I13="",O13="",P13=""),0,I13*O13*P13)+IF(OR(R13="",W13=""),0,R13*IFERROR(INDEX(Reference!$B$61:$B$62,MATCH("Bullpen",Reference!$A$61:$A$62,0)),0)*W13)+IF(OR(X13="",AC13=""),0,X13*VLOOKUP(60,Reference!$A$6:$B$11,2,TRUE())*AC13))</f>
        <v/>
      </c>
      <c r="R13" s="16"/>
      <c r="S13" s="16"/>
      <c r="T13" s="16"/>
      <c r="U13" s="17" t="str">
        <f t="shared" si="3"/>
        <v/>
      </c>
      <c r="V13" s="17" t="str">
        <f t="shared" si="4"/>
        <v/>
      </c>
      <c r="W13" s="17" t="str">
        <f>IF(V13="","",VLOOKUP(MAX(V13,0),Reference!$A$17:$B$20,2,TRUE()))</f>
        <v/>
      </c>
      <c r="X13" s="16"/>
      <c r="Y13" s="16"/>
      <c r="Z13" s="16"/>
      <c r="AA13" s="17" t="str">
        <f t="shared" si="5"/>
        <v/>
      </c>
      <c r="AB13" s="17" t="str">
        <f t="shared" si="6"/>
        <v/>
      </c>
      <c r="AC13" s="17" t="str">
        <f>IF(AB13="","",VLOOKUP(MAX(AB13,0),Reference!$A$17:$B$20,2,TRUE()))</f>
        <v/>
      </c>
      <c r="AD13" s="16"/>
    </row>
    <row r="14" spans="1:30" x14ac:dyDescent="0.3">
      <c r="A14" s="19">
        <v>46274</v>
      </c>
      <c r="B14" s="16" t="s">
        <v>104</v>
      </c>
      <c r="C14" s="16" t="s">
        <v>55</v>
      </c>
      <c r="D14" s="16">
        <v>75</v>
      </c>
      <c r="E14" s="18">
        <v>7.2916666666666699E-2</v>
      </c>
      <c r="F14" s="18">
        <v>7.9861111111111105E-2</v>
      </c>
      <c r="G14" s="15">
        <f t="shared" si="0"/>
        <v>9.9999999999999449</v>
      </c>
      <c r="H14" s="16"/>
      <c r="I14" s="17">
        <f>IF(H14&lt;&gt;"",H14,IF(G14="","",ROUND(G14*IFERROR(INDEX(Reference!$B$44:$B$50,MATCH(C14,Reference!$A$44:$A$50,0)),0),0)))</f>
        <v>45</v>
      </c>
      <c r="J14" s="16">
        <v>72</v>
      </c>
      <c r="K14" s="16">
        <v>75</v>
      </c>
      <c r="L14" s="17">
        <f t="shared" si="1"/>
        <v>73.5</v>
      </c>
      <c r="M14" s="17">
        <f>IFERROR(INDEX(Roster!$D$5:$D$40,MATCH(B14,Roster!$A$5:$A$40,0)),"")</f>
        <v>87.9</v>
      </c>
      <c r="N14" s="17">
        <f t="shared" si="2"/>
        <v>14.400000000000006</v>
      </c>
      <c r="O14" s="17">
        <f>IF(OR(C14="Bullpen",C14="Game"),IFERROR(INDEX(Reference!$B$61:$B$62,MATCH(C14,Reference!$A$61:$A$62,0)),""),IF(D14="","",VLOOKUP(D14,Reference!$A$6:$B$11,2,TRUE())))</f>
        <v>1.3</v>
      </c>
      <c r="P14" s="17">
        <f>IF(N14="","",VLOOKUP(MAX(N14,0),Reference!$A$17:$B$20,2,TRUE()))</f>
        <v>0.6</v>
      </c>
      <c r="Q14" s="17">
        <f>IF(AND(OR(I14="",O14="",P14=""),OR(R14="",W14=""),OR(X14="",AC14="")),"",IF(OR(I14="",O14="",P14=""),0,I14*O14*P14)+IF(OR(R14="",W14=""),0,R14*IFERROR(INDEX(Reference!$B$61:$B$62,MATCH("Bullpen",Reference!$A$61:$A$62,0)),0)*W14)+IF(OR(X14="",AC14=""),0,X14*VLOOKUP(60,Reference!$A$6:$B$11,2,TRUE())*AC14))</f>
        <v>35.1</v>
      </c>
      <c r="R14" s="16"/>
      <c r="S14" s="16"/>
      <c r="T14" s="16"/>
      <c r="U14" s="17" t="str">
        <f t="shared" si="3"/>
        <v/>
      </c>
      <c r="V14" s="17" t="str">
        <f t="shared" si="4"/>
        <v/>
      </c>
      <c r="W14" s="17" t="str">
        <f>IF(V14="","",VLOOKUP(MAX(V14,0),Reference!$A$17:$B$20,2,TRUE()))</f>
        <v/>
      </c>
      <c r="X14" s="16"/>
      <c r="Y14" s="16"/>
      <c r="Z14" s="16"/>
      <c r="AA14" s="17" t="str">
        <f t="shared" si="5"/>
        <v/>
      </c>
      <c r="AB14" s="17" t="str">
        <f t="shared" si="6"/>
        <v/>
      </c>
      <c r="AC14" s="17" t="str">
        <f>IF(AB14="","",VLOOKUP(MAX(AB14,0),Reference!$A$17:$B$20,2,TRUE()))</f>
        <v/>
      </c>
      <c r="AD14" s="16"/>
    </row>
    <row r="15" spans="1:30" x14ac:dyDescent="0.3">
      <c r="A15" s="19">
        <v>46275</v>
      </c>
      <c r="B15" s="16" t="s">
        <v>104</v>
      </c>
      <c r="C15" s="16" t="s">
        <v>53</v>
      </c>
      <c r="D15" s="16">
        <v>90</v>
      </c>
      <c r="E15" s="18">
        <v>7.2916666666666699E-2</v>
      </c>
      <c r="F15" s="18">
        <v>8.6805555555555594E-2</v>
      </c>
      <c r="G15" s="15">
        <f t="shared" si="0"/>
        <v>20.000000000000007</v>
      </c>
      <c r="H15" s="16"/>
      <c r="I15" s="17">
        <f>IF(H15&lt;&gt;"",H15,IF(G15="","",ROUND(G15*IFERROR(INDEX(Reference!$B$44:$B$50,MATCH(C15,Reference!$A$44:$A$50,0)),0),0)))</f>
        <v>70</v>
      </c>
      <c r="J15" s="16">
        <v>75</v>
      </c>
      <c r="K15" s="16">
        <v>81</v>
      </c>
      <c r="L15" s="17">
        <f t="shared" si="1"/>
        <v>78</v>
      </c>
      <c r="M15" s="17">
        <f>IFERROR(INDEX(Roster!$D$5:$D$40,MATCH(B15,Roster!$A$5:$A$40,0)),"")</f>
        <v>87.9</v>
      </c>
      <c r="N15" s="17">
        <f t="shared" si="2"/>
        <v>9.9000000000000057</v>
      </c>
      <c r="O15" s="17">
        <f>IF(OR(C15="Bullpen",C15="Game"),IFERROR(INDEX(Reference!$B$61:$B$62,MATCH(C15,Reference!$A$61:$A$62,0)),""),IF(D15="","",VLOOKUP(D15,Reference!$A$6:$B$11,2,TRUE())))</f>
        <v>1.3</v>
      </c>
      <c r="P15" s="17">
        <f>IF(N15="","",VLOOKUP(MAX(N15,0),Reference!$A$17:$B$20,2,TRUE()))</f>
        <v>1</v>
      </c>
      <c r="Q15" s="17">
        <f>IF(AND(OR(I15="",O15="",P15=""),OR(R15="",W15=""),OR(X15="",AC15="")),"",IF(OR(I15="",O15="",P15=""),0,I15*O15*P15)+IF(OR(R15="",W15=""),0,R15*IFERROR(INDEX(Reference!$B$61:$B$62,MATCH("Bullpen",Reference!$A$61:$A$62,0)),0)*W15)+IF(OR(X15="",AC15=""),0,X15*VLOOKUP(60,Reference!$A$6:$B$11,2,TRUE())*AC15))</f>
        <v>91</v>
      </c>
      <c r="R15" s="16"/>
      <c r="S15" s="16"/>
      <c r="T15" s="16"/>
      <c r="U15" s="17" t="str">
        <f t="shared" si="3"/>
        <v/>
      </c>
      <c r="V15" s="17" t="str">
        <f t="shared" si="4"/>
        <v/>
      </c>
      <c r="W15" s="17" t="str">
        <f>IF(V15="","",VLOOKUP(MAX(V15,0),Reference!$A$17:$B$20,2,TRUE()))</f>
        <v/>
      </c>
      <c r="X15" s="16"/>
      <c r="Y15" s="16"/>
      <c r="Z15" s="16"/>
      <c r="AA15" s="17" t="str">
        <f t="shared" si="5"/>
        <v/>
      </c>
      <c r="AB15" s="17" t="str">
        <f t="shared" si="6"/>
        <v/>
      </c>
      <c r="AC15" s="17" t="str">
        <f>IF(AB15="","",VLOOKUP(MAX(AB15,0),Reference!$A$17:$B$20,2,TRUE()))</f>
        <v/>
      </c>
      <c r="AD15" s="16"/>
    </row>
    <row r="16" spans="1:30" x14ac:dyDescent="0.3">
      <c r="A16" s="19">
        <v>46276</v>
      </c>
      <c r="B16" s="16" t="s">
        <v>104</v>
      </c>
      <c r="C16" s="16" t="s">
        <v>53</v>
      </c>
      <c r="D16" s="16">
        <v>120</v>
      </c>
      <c r="E16" s="18">
        <v>7.2916666666666699E-2</v>
      </c>
      <c r="F16" s="18">
        <v>8.6805555555555594E-2</v>
      </c>
      <c r="G16" s="15">
        <f t="shared" si="0"/>
        <v>20.000000000000007</v>
      </c>
      <c r="H16" s="16"/>
      <c r="I16" s="17">
        <f>IF(H16&lt;&gt;"",H16,IF(G16="","",ROUND(G16*IFERROR(INDEX(Reference!$B$44:$B$50,MATCH(C16,Reference!$A$44:$A$50,0)),0),0)))</f>
        <v>70</v>
      </c>
      <c r="J16" s="16">
        <v>75</v>
      </c>
      <c r="K16" s="16">
        <v>84</v>
      </c>
      <c r="L16" s="17">
        <f t="shared" si="1"/>
        <v>79.5</v>
      </c>
      <c r="M16" s="17">
        <f>IFERROR(INDEX(Roster!$D$5:$D$40,MATCH(B16,Roster!$A$5:$A$40,0)),"")</f>
        <v>87.9</v>
      </c>
      <c r="N16" s="17">
        <f t="shared" si="2"/>
        <v>8.4000000000000057</v>
      </c>
      <c r="O16" s="17">
        <f>IF(OR(C16="Bullpen",C16="Game"),IFERROR(INDEX(Reference!$B$61:$B$62,MATCH(C16,Reference!$A$61:$A$62,0)),""),IF(D16="","",VLOOKUP(D16,Reference!$A$6:$B$11,2,TRUE())))</f>
        <v>1.7</v>
      </c>
      <c r="P16" s="17">
        <f>IF(N16="","",VLOOKUP(MAX(N16,0),Reference!$A$17:$B$20,2,TRUE()))</f>
        <v>1</v>
      </c>
      <c r="Q16" s="17">
        <f>IF(AND(OR(I16="",O16="",P16=""),OR(R16="",W16=""),OR(X16="",AC16="")),"",IF(OR(I16="",O16="",P16=""),0,I16*O16*P16)+IF(OR(R16="",W16=""),0,R16*IFERROR(INDEX(Reference!$B$61:$B$62,MATCH("Bullpen",Reference!$A$61:$A$62,0)),0)*W16)+IF(OR(X16="",AC16=""),0,X16*VLOOKUP(60,Reference!$A$6:$B$11,2,TRUE())*AC16))</f>
        <v>119</v>
      </c>
      <c r="R16" s="16"/>
      <c r="S16" s="16"/>
      <c r="T16" s="16"/>
      <c r="U16" s="17" t="str">
        <f t="shared" si="3"/>
        <v/>
      </c>
      <c r="V16" s="17" t="str">
        <f t="shared" si="4"/>
        <v/>
      </c>
      <c r="W16" s="17" t="str">
        <f>IF(V16="","",VLOOKUP(MAX(V16,0),Reference!$A$17:$B$20,2,TRUE()))</f>
        <v/>
      </c>
      <c r="X16" s="16"/>
      <c r="Y16" s="16"/>
      <c r="Z16" s="16"/>
      <c r="AA16" s="17" t="str">
        <f t="shared" si="5"/>
        <v/>
      </c>
      <c r="AB16" s="17" t="str">
        <f t="shared" si="6"/>
        <v/>
      </c>
      <c r="AC16" s="17" t="str">
        <f>IF(AB16="","",VLOOKUP(MAX(AB16,0),Reference!$A$17:$B$20,2,TRUE()))</f>
        <v/>
      </c>
      <c r="AD16" s="16"/>
    </row>
    <row r="17" spans="1:30" x14ac:dyDescent="0.3">
      <c r="A17" s="19">
        <v>46277</v>
      </c>
      <c r="B17" s="16" t="s">
        <v>104</v>
      </c>
      <c r="C17" s="16" t="s">
        <v>49</v>
      </c>
      <c r="D17" s="16">
        <v>0</v>
      </c>
      <c r="E17" s="18"/>
      <c r="F17" s="18"/>
      <c r="G17" s="15" t="str">
        <f t="shared" si="0"/>
        <v/>
      </c>
      <c r="H17" s="16"/>
      <c r="I17" s="17" t="str">
        <f>IF(H17&lt;&gt;"",H17,IF(G17="","",ROUND(G17*IFERROR(INDEX(Reference!$B$44:$B$50,MATCH(C17,Reference!$A$44:$A$50,0)),0),0)))</f>
        <v/>
      </c>
      <c r="J17" s="16"/>
      <c r="K17" s="16"/>
      <c r="L17" s="17" t="str">
        <f t="shared" si="1"/>
        <v/>
      </c>
      <c r="M17" s="17">
        <f>IFERROR(INDEX(Roster!$D$5:$D$40,MATCH(B17,Roster!$A$5:$A$40,0)),"")</f>
        <v>87.9</v>
      </c>
      <c r="N17" s="17" t="str">
        <f t="shared" si="2"/>
        <v/>
      </c>
      <c r="O17" s="17">
        <f>IF(OR(C17="Bullpen",C17="Game"),IFERROR(INDEX(Reference!$B$61:$B$62,MATCH(C17,Reference!$A$61:$A$62,0)),""),IF(D17="","",VLOOKUP(D17,Reference!$A$6:$B$11,2,TRUE())))</f>
        <v>1</v>
      </c>
      <c r="P17" s="17" t="str">
        <f>IF(N17="","",VLOOKUP(MAX(N17,0),Reference!$A$17:$B$20,2,TRUE()))</f>
        <v/>
      </c>
      <c r="Q17" s="17" t="str">
        <f>IF(AND(OR(I17="",O17="",P17=""),OR(R17="",W17=""),OR(X17="",AC17="")),"",IF(OR(I17="",O17="",P17=""),0,I17*O17*P17)+IF(OR(R17="",W17=""),0,R17*IFERROR(INDEX(Reference!$B$61:$B$62,MATCH("Bullpen",Reference!$A$61:$A$62,0)),0)*W17)+IF(OR(X17="",AC17=""),0,X17*VLOOKUP(60,Reference!$A$6:$B$11,2,TRUE())*AC17))</f>
        <v/>
      </c>
      <c r="R17" s="16"/>
      <c r="S17" s="16"/>
      <c r="T17" s="16"/>
      <c r="U17" s="17" t="str">
        <f t="shared" si="3"/>
        <v/>
      </c>
      <c r="V17" s="17" t="str">
        <f t="shared" si="4"/>
        <v/>
      </c>
      <c r="W17" s="17" t="str">
        <f>IF(V17="","",VLOOKUP(MAX(V17,0),Reference!$A$17:$B$20,2,TRUE()))</f>
        <v/>
      </c>
      <c r="X17" s="16"/>
      <c r="Y17" s="16"/>
      <c r="Z17" s="16"/>
      <c r="AA17" s="17" t="str">
        <f t="shared" si="5"/>
        <v/>
      </c>
      <c r="AB17" s="17" t="str">
        <f t="shared" si="6"/>
        <v/>
      </c>
      <c r="AC17" s="17" t="str">
        <f>IF(AB17="","",VLOOKUP(MAX(AB17,0),Reference!$A$17:$B$20,2,TRUE()))</f>
        <v/>
      </c>
      <c r="AD17" s="16"/>
    </row>
    <row r="18" spans="1:30" x14ac:dyDescent="0.3">
      <c r="A18" s="19">
        <v>46278</v>
      </c>
      <c r="B18" s="16" t="s">
        <v>104</v>
      </c>
      <c r="C18" s="16" t="s">
        <v>55</v>
      </c>
      <c r="D18" s="16">
        <v>75</v>
      </c>
      <c r="E18" s="18">
        <v>7.2916666666666699E-2</v>
      </c>
      <c r="F18" s="18">
        <v>7.9861111111111105E-2</v>
      </c>
      <c r="G18" s="15">
        <f t="shared" si="0"/>
        <v>9.9999999999999449</v>
      </c>
      <c r="H18" s="16"/>
      <c r="I18" s="17">
        <f>IF(H18&lt;&gt;"",H18,IF(G18="","",ROUND(G18*IFERROR(INDEX(Reference!$B$44:$B$50,MATCH(C18,Reference!$A$44:$A$50,0)),0),0)))</f>
        <v>45</v>
      </c>
      <c r="J18" s="16">
        <v>72</v>
      </c>
      <c r="K18" s="16">
        <v>75</v>
      </c>
      <c r="L18" s="17">
        <f t="shared" si="1"/>
        <v>73.5</v>
      </c>
      <c r="M18" s="17">
        <f>IFERROR(INDEX(Roster!$D$5:$D$40,MATCH(B18,Roster!$A$5:$A$40,0)),"")</f>
        <v>87.9</v>
      </c>
      <c r="N18" s="17">
        <f t="shared" si="2"/>
        <v>14.400000000000006</v>
      </c>
      <c r="O18" s="17">
        <f>IF(OR(C18="Bullpen",C18="Game"),IFERROR(INDEX(Reference!$B$61:$B$62,MATCH(C18,Reference!$A$61:$A$62,0)),""),IF(D18="","",VLOOKUP(D18,Reference!$A$6:$B$11,2,TRUE())))</f>
        <v>1.3</v>
      </c>
      <c r="P18" s="17">
        <f>IF(N18="","",VLOOKUP(MAX(N18,0),Reference!$A$17:$B$20,2,TRUE()))</f>
        <v>0.6</v>
      </c>
      <c r="Q18" s="17">
        <f>IF(AND(OR(I18="",O18="",P18=""),OR(R18="",W18=""),OR(X18="",AC18="")),"",IF(OR(I18="",O18="",P18=""),0,I18*O18*P18)+IF(OR(R18="",W18=""),0,R18*IFERROR(INDEX(Reference!$B$61:$B$62,MATCH("Bullpen",Reference!$A$61:$A$62,0)),0)*W18)+IF(OR(X18="",AC18=""),0,X18*VLOOKUP(60,Reference!$A$6:$B$11,2,TRUE())*AC18))</f>
        <v>35.1</v>
      </c>
      <c r="R18" s="16"/>
      <c r="S18" s="16"/>
      <c r="T18" s="16"/>
      <c r="U18" s="17" t="str">
        <f t="shared" si="3"/>
        <v/>
      </c>
      <c r="V18" s="17" t="str">
        <f t="shared" si="4"/>
        <v/>
      </c>
      <c r="W18" s="17" t="str">
        <f>IF(V18="","",VLOOKUP(MAX(V18,0),Reference!$A$17:$B$20,2,TRUE()))</f>
        <v/>
      </c>
      <c r="X18" s="16"/>
      <c r="Y18" s="16"/>
      <c r="Z18" s="16"/>
      <c r="AA18" s="17" t="str">
        <f t="shared" si="5"/>
        <v/>
      </c>
      <c r="AB18" s="17" t="str">
        <f t="shared" si="6"/>
        <v/>
      </c>
      <c r="AC18" s="17" t="str">
        <f>IF(AB18="","",VLOOKUP(MAX(AB18,0),Reference!$A$17:$B$20,2,TRUE()))</f>
        <v/>
      </c>
      <c r="AD18" s="16"/>
    </row>
    <row r="19" spans="1:30" x14ac:dyDescent="0.3">
      <c r="A19" s="19">
        <v>46279</v>
      </c>
      <c r="B19" s="16" t="s">
        <v>104</v>
      </c>
      <c r="C19" s="16" t="s">
        <v>52</v>
      </c>
      <c r="D19" s="16"/>
      <c r="E19" s="18">
        <v>7.2916666666666699E-2</v>
      </c>
      <c r="F19" s="18"/>
      <c r="G19" s="15" t="str">
        <f t="shared" si="0"/>
        <v/>
      </c>
      <c r="H19" s="16">
        <v>23</v>
      </c>
      <c r="I19" s="17">
        <f>IF(H19&lt;&gt;"",H19,IF(G19="","",ROUND(G19*IFERROR(INDEX(Reference!$B$44:$B$50,MATCH(C19,Reference!$A$44:$A$50,0)),0),0)))</f>
        <v>23</v>
      </c>
      <c r="J19" s="16">
        <v>84</v>
      </c>
      <c r="K19" s="16">
        <v>86</v>
      </c>
      <c r="L19" s="17">
        <f t="shared" si="1"/>
        <v>85</v>
      </c>
      <c r="M19" s="17">
        <f>IFERROR(INDEX(Roster!$D$5:$D$40,MATCH(B19,Roster!$A$5:$A$40,0)),"")</f>
        <v>87.9</v>
      </c>
      <c r="N19" s="17">
        <f t="shared" si="2"/>
        <v>2.9000000000000057</v>
      </c>
      <c r="O19" s="17">
        <f>IF(OR(C19="Bullpen",C19="Game"),IFERROR(INDEX(Reference!$B$61:$B$62,MATCH(C19,Reference!$A$61:$A$62,0)),""),IF(D19="","",VLOOKUP(D19,Reference!$A$6:$B$11,2,TRUE())))</f>
        <v>3</v>
      </c>
      <c r="P19" s="17">
        <f>IF(N19="","",VLOOKUP(MAX(N19,0),Reference!$A$17:$B$20,2,TRUE()))</f>
        <v>2</v>
      </c>
      <c r="Q19" s="17">
        <f>IF(AND(OR(I19="",O19="",P19=""),OR(R19="",W19=""),OR(X19="",AC19="")),"",IF(OR(I19="",O19="",P19=""),0,I19*O19*P19)+IF(OR(R19="",W19=""),0,R19*IFERROR(INDEX(Reference!$B$61:$B$62,MATCH("Bullpen",Reference!$A$61:$A$62,0)),0)*W19)+IF(OR(X19="",AC19=""),0,X19*VLOOKUP(60,Reference!$A$6:$B$11,2,TRUE())*AC19))</f>
        <v>138</v>
      </c>
      <c r="R19" s="16"/>
      <c r="S19" s="16"/>
      <c r="T19" s="16"/>
      <c r="U19" s="17" t="str">
        <f t="shared" si="3"/>
        <v/>
      </c>
      <c r="V19" s="17" t="str">
        <f t="shared" si="4"/>
        <v/>
      </c>
      <c r="W19" s="17" t="str">
        <f>IF(V19="","",VLOOKUP(MAX(V19,0),Reference!$A$17:$B$20,2,TRUE()))</f>
        <v/>
      </c>
      <c r="X19" s="16"/>
      <c r="Y19" s="16"/>
      <c r="Z19" s="16"/>
      <c r="AA19" s="17" t="str">
        <f t="shared" si="5"/>
        <v/>
      </c>
      <c r="AB19" s="17" t="str">
        <f t="shared" si="6"/>
        <v/>
      </c>
      <c r="AC19" s="17" t="str">
        <f>IF(AB19="","",VLOOKUP(MAX(AB19,0),Reference!$A$17:$B$20,2,TRUE()))</f>
        <v/>
      </c>
      <c r="AD19" s="16"/>
    </row>
    <row r="20" spans="1:30" x14ac:dyDescent="0.3">
      <c r="A20" s="19">
        <v>46280</v>
      </c>
      <c r="B20" s="16" t="s">
        <v>104</v>
      </c>
      <c r="C20" s="16" t="s">
        <v>55</v>
      </c>
      <c r="D20" s="16">
        <v>75</v>
      </c>
      <c r="E20" s="18">
        <v>7.2916666666666699E-2</v>
      </c>
      <c r="F20" s="18">
        <v>7.9861111111111105E-2</v>
      </c>
      <c r="G20" s="15">
        <f t="shared" si="0"/>
        <v>9.9999999999999449</v>
      </c>
      <c r="H20" s="16"/>
      <c r="I20" s="17">
        <f>IF(H20&lt;&gt;"",H20,IF(G20="","",ROUND(G20*IFERROR(INDEX(Reference!$B$44:$B$50,MATCH(C20,Reference!$A$44:$A$50,0)),0),0)))</f>
        <v>45</v>
      </c>
      <c r="J20" s="16"/>
      <c r="K20" s="16"/>
      <c r="L20" s="17" t="str">
        <f t="shared" si="1"/>
        <v/>
      </c>
      <c r="M20" s="17">
        <f>IFERROR(INDEX(Roster!$D$5:$D$40,MATCH(B20,Roster!$A$5:$A$40,0)),"")</f>
        <v>87.9</v>
      </c>
      <c r="N20" s="17" t="str">
        <f t="shared" si="2"/>
        <v/>
      </c>
      <c r="O20" s="17">
        <f>IF(OR(C20="Bullpen",C20="Game"),IFERROR(INDEX(Reference!$B$61:$B$62,MATCH(C20,Reference!$A$61:$A$62,0)),""),IF(D20="","",VLOOKUP(D20,Reference!$A$6:$B$11,2,TRUE())))</f>
        <v>1.3</v>
      </c>
      <c r="P20" s="17" t="str">
        <f>IF(N20="","",VLOOKUP(MAX(N20,0),Reference!$A$17:$B$20,2,TRUE()))</f>
        <v/>
      </c>
      <c r="Q20" s="17" t="str">
        <f>IF(AND(OR(I20="",O20="",P20=""),OR(R20="",W20=""),OR(X20="",AC20="")),"",IF(OR(I20="",O20="",P20=""),0,I20*O20*P20)+IF(OR(R20="",W20=""),0,R20*IFERROR(INDEX(Reference!$B$61:$B$62,MATCH("Bullpen",Reference!$A$61:$A$62,0)),0)*W20)+IF(OR(X20="",AC20=""),0,X20*VLOOKUP(60,Reference!$A$6:$B$11,2,TRUE())*AC20))</f>
        <v/>
      </c>
      <c r="R20" s="16"/>
      <c r="S20" s="16"/>
      <c r="T20" s="16"/>
      <c r="U20" s="17" t="str">
        <f t="shared" si="3"/>
        <v/>
      </c>
      <c r="V20" s="17" t="str">
        <f t="shared" si="4"/>
        <v/>
      </c>
      <c r="W20" s="17" t="str">
        <f>IF(V20="","",VLOOKUP(MAX(V20,0),Reference!$A$17:$B$20,2,TRUE()))</f>
        <v/>
      </c>
      <c r="X20" s="16"/>
      <c r="Y20" s="16"/>
      <c r="Z20" s="16"/>
      <c r="AA20" s="17" t="str">
        <f t="shared" si="5"/>
        <v/>
      </c>
      <c r="AB20" s="17" t="str">
        <f t="shared" si="6"/>
        <v/>
      </c>
      <c r="AC20" s="17" t="str">
        <f>IF(AB20="","",VLOOKUP(MAX(AB20,0),Reference!$A$17:$B$20,2,TRUE()))</f>
        <v/>
      </c>
      <c r="AD20" s="16"/>
    </row>
    <row r="21" spans="1:30" x14ac:dyDescent="0.3">
      <c r="A21" s="19">
        <v>46281</v>
      </c>
      <c r="B21" s="16" t="s">
        <v>104</v>
      </c>
      <c r="C21" s="16" t="s">
        <v>53</v>
      </c>
      <c r="D21" s="16">
        <v>120</v>
      </c>
      <c r="E21" s="18">
        <v>7.5694444444444398E-2</v>
      </c>
      <c r="F21" s="18">
        <v>8.5416666666666696E-2</v>
      </c>
      <c r="G21" s="15">
        <f t="shared" si="0"/>
        <v>14.00000000000011</v>
      </c>
      <c r="H21" s="16"/>
      <c r="I21" s="17">
        <f>IF(H21&lt;&gt;"",H21,IF(G21="","",ROUND(G21*IFERROR(INDEX(Reference!$B$44:$B$50,MATCH(C21,Reference!$A$44:$A$50,0)),0),0)))</f>
        <v>49</v>
      </c>
      <c r="J21" s="16">
        <v>75</v>
      </c>
      <c r="K21" s="16">
        <v>81</v>
      </c>
      <c r="L21" s="17">
        <f t="shared" si="1"/>
        <v>78</v>
      </c>
      <c r="M21" s="17">
        <f>IFERROR(INDEX(Roster!$D$5:$D$40,MATCH(B21,Roster!$A$5:$A$40,0)),"")</f>
        <v>87.9</v>
      </c>
      <c r="N21" s="17">
        <f t="shared" si="2"/>
        <v>9.9000000000000057</v>
      </c>
      <c r="O21" s="17">
        <f>IF(OR(C21="Bullpen",C21="Game"),IFERROR(INDEX(Reference!$B$61:$B$62,MATCH(C21,Reference!$A$61:$A$62,0)),""),IF(D21="","",VLOOKUP(D21,Reference!$A$6:$B$11,2,TRUE())))</f>
        <v>1.7</v>
      </c>
      <c r="P21" s="17">
        <f>IF(N21="","",VLOOKUP(MAX(N21,0),Reference!$A$17:$B$20,2,TRUE()))</f>
        <v>1</v>
      </c>
      <c r="Q21" s="17">
        <f>IF(AND(OR(I21="",O21="",P21=""),OR(R21="",W21=""),OR(X21="",AC21="")),"",IF(OR(I21="",O21="",P21=""),0,I21*O21*P21)+IF(OR(R21="",W21=""),0,R21*IFERROR(INDEX(Reference!$B$61:$B$62,MATCH("Bullpen",Reference!$A$61:$A$62,0)),0)*W21)+IF(OR(X21="",AC21=""),0,X21*VLOOKUP(60,Reference!$A$6:$B$11,2,TRUE())*AC21))</f>
        <v>83.3</v>
      </c>
      <c r="R21" s="16"/>
      <c r="S21" s="16"/>
      <c r="T21" s="16"/>
      <c r="U21" s="17" t="str">
        <f t="shared" si="3"/>
        <v/>
      </c>
      <c r="V21" s="17" t="str">
        <f t="shared" si="4"/>
        <v/>
      </c>
      <c r="W21" s="17" t="str">
        <f>IF(V21="","",VLOOKUP(MAX(V21,0),Reference!$A$17:$B$20,2,TRUE()))</f>
        <v/>
      </c>
      <c r="X21" s="16"/>
      <c r="Y21" s="16"/>
      <c r="Z21" s="16"/>
      <c r="AA21" s="17" t="str">
        <f t="shared" si="5"/>
        <v/>
      </c>
      <c r="AB21" s="17" t="str">
        <f t="shared" si="6"/>
        <v/>
      </c>
      <c r="AC21" s="17" t="str">
        <f>IF(AB21="","",VLOOKUP(MAX(AB21,0),Reference!$A$17:$B$20,2,TRUE()))</f>
        <v/>
      </c>
      <c r="AD21" s="16"/>
    </row>
    <row r="22" spans="1:30" x14ac:dyDescent="0.3">
      <c r="A22" s="19">
        <v>46282</v>
      </c>
      <c r="B22" s="16" t="s">
        <v>104</v>
      </c>
      <c r="C22" s="16" t="s">
        <v>52</v>
      </c>
      <c r="D22" s="16"/>
      <c r="E22" s="18">
        <v>7.2916666666666699E-2</v>
      </c>
      <c r="F22" s="18"/>
      <c r="G22" s="15" t="str">
        <f t="shared" si="0"/>
        <v/>
      </c>
      <c r="H22" s="16">
        <v>27</v>
      </c>
      <c r="I22" s="17">
        <f>IF(H22&lt;&gt;"",H22,IF(G22="","",ROUND(G22*IFERROR(INDEX(Reference!$B$44:$B$50,MATCH(C22,Reference!$A$44:$A$50,0)),0),0)))</f>
        <v>27</v>
      </c>
      <c r="J22" s="16">
        <v>86</v>
      </c>
      <c r="K22" s="16">
        <v>88</v>
      </c>
      <c r="L22" s="17">
        <f t="shared" si="1"/>
        <v>87</v>
      </c>
      <c r="M22" s="17">
        <f>IFERROR(INDEX(Roster!$D$5:$D$40,MATCH(B22,Roster!$A$5:$A$40,0)),"")</f>
        <v>87.9</v>
      </c>
      <c r="N22" s="17">
        <f t="shared" si="2"/>
        <v>0.90000000000000568</v>
      </c>
      <c r="O22" s="17">
        <f>IF(OR(C22="Bullpen",C22="Game"),IFERROR(INDEX(Reference!$B$61:$B$62,MATCH(C22,Reference!$A$61:$A$62,0)),""),IF(D22="","",VLOOKUP(D22,Reference!$A$6:$B$11,2,TRUE())))</f>
        <v>3</v>
      </c>
      <c r="P22" s="17">
        <f>IF(N22="","",VLOOKUP(MAX(N22,0),Reference!$A$17:$B$20,2,TRUE()))</f>
        <v>2</v>
      </c>
      <c r="Q22" s="17">
        <f>IF(AND(OR(I22="",O22="",P22=""),OR(R22="",W22=""),OR(X22="",AC22="")),"",IF(OR(I22="",O22="",P22=""),0,I22*O22*P22)+IF(OR(R22="",W22=""),0,R22*IFERROR(INDEX(Reference!$B$61:$B$62,MATCH("Bullpen",Reference!$A$61:$A$62,0)),0)*W22)+IF(OR(X22="",AC22=""),0,X22*VLOOKUP(60,Reference!$A$6:$B$11,2,TRUE())*AC22))</f>
        <v>162</v>
      </c>
      <c r="R22" s="16"/>
      <c r="S22" s="16"/>
      <c r="T22" s="16"/>
      <c r="U22" s="17" t="str">
        <f t="shared" si="3"/>
        <v/>
      </c>
      <c r="V22" s="17" t="str">
        <f t="shared" si="4"/>
        <v/>
      </c>
      <c r="W22" s="17" t="str">
        <f>IF(V22="","",VLOOKUP(MAX(V22,0),Reference!$A$17:$B$20,2,TRUE()))</f>
        <v/>
      </c>
      <c r="X22" s="16"/>
      <c r="Y22" s="16"/>
      <c r="Z22" s="16"/>
      <c r="AA22" s="17" t="str">
        <f t="shared" si="5"/>
        <v/>
      </c>
      <c r="AB22" s="17" t="str">
        <f t="shared" si="6"/>
        <v/>
      </c>
      <c r="AC22" s="17" t="str">
        <f>IF(AB22="","",VLOOKUP(MAX(AB22,0),Reference!$A$17:$B$20,2,TRUE()))</f>
        <v/>
      </c>
      <c r="AD22" s="16"/>
    </row>
    <row r="23" spans="1:30" x14ac:dyDescent="0.3">
      <c r="A23" s="19">
        <v>46283</v>
      </c>
      <c r="B23" s="16" t="s">
        <v>104</v>
      </c>
      <c r="C23" s="16" t="s">
        <v>55</v>
      </c>
      <c r="D23" s="16">
        <v>75</v>
      </c>
      <c r="E23" s="18">
        <v>7.2916666666666699E-2</v>
      </c>
      <c r="F23" s="18">
        <v>7.9861111111111105E-2</v>
      </c>
      <c r="G23" s="15">
        <f t="shared" si="0"/>
        <v>9.9999999999999449</v>
      </c>
      <c r="H23" s="16"/>
      <c r="I23" s="17">
        <f>IF(H23&lt;&gt;"",H23,IF(G23="","",ROUND(G23*IFERROR(INDEX(Reference!$B$44:$B$50,MATCH(C23,Reference!$A$44:$A$50,0)),0),0)))</f>
        <v>45</v>
      </c>
      <c r="J23" s="16">
        <v>72</v>
      </c>
      <c r="K23" s="16">
        <v>75</v>
      </c>
      <c r="L23" s="17">
        <f t="shared" si="1"/>
        <v>73.5</v>
      </c>
      <c r="M23" s="17">
        <f>IFERROR(INDEX(Roster!$D$5:$D$40,MATCH(B23,Roster!$A$5:$A$40,0)),"")</f>
        <v>87.9</v>
      </c>
      <c r="N23" s="17">
        <f t="shared" si="2"/>
        <v>14.400000000000006</v>
      </c>
      <c r="O23" s="17">
        <f>IF(OR(C23="Bullpen",C23="Game"),IFERROR(INDEX(Reference!$B$61:$B$62,MATCH(C23,Reference!$A$61:$A$62,0)),""),IF(D23="","",VLOOKUP(D23,Reference!$A$6:$B$11,2,TRUE())))</f>
        <v>1.3</v>
      </c>
      <c r="P23" s="17">
        <f>IF(N23="","",VLOOKUP(MAX(N23,0),Reference!$A$17:$B$20,2,TRUE()))</f>
        <v>0.6</v>
      </c>
      <c r="Q23" s="17">
        <f>IF(AND(OR(I23="",O23="",P23=""),OR(R23="",W23=""),OR(X23="",AC23="")),"",IF(OR(I23="",O23="",P23=""),0,I23*O23*P23)+IF(OR(R23="",W23=""),0,R23*IFERROR(INDEX(Reference!$B$61:$B$62,MATCH("Bullpen",Reference!$A$61:$A$62,0)),0)*W23)+IF(OR(X23="",AC23=""),0,X23*VLOOKUP(60,Reference!$A$6:$B$11,2,TRUE())*AC23))</f>
        <v>35.1</v>
      </c>
      <c r="R23" s="16"/>
      <c r="S23" s="16"/>
      <c r="T23" s="16"/>
      <c r="U23" s="17" t="str">
        <f t="shared" si="3"/>
        <v/>
      </c>
      <c r="V23" s="17" t="str">
        <f t="shared" si="4"/>
        <v/>
      </c>
      <c r="W23" s="17" t="str">
        <f>IF(V23="","",VLOOKUP(MAX(V23,0),Reference!$A$17:$B$20,2,TRUE()))</f>
        <v/>
      </c>
      <c r="X23" s="16"/>
      <c r="Y23" s="16"/>
      <c r="Z23" s="16"/>
      <c r="AA23" s="17" t="str">
        <f t="shared" si="5"/>
        <v/>
      </c>
      <c r="AB23" s="17" t="str">
        <f t="shared" si="6"/>
        <v/>
      </c>
      <c r="AC23" s="17" t="str">
        <f>IF(AB23="","",VLOOKUP(MAX(AB23,0),Reference!$A$17:$B$20,2,TRUE()))</f>
        <v/>
      </c>
      <c r="AD23" s="16"/>
    </row>
    <row r="24" spans="1:30" x14ac:dyDescent="0.3">
      <c r="A24" s="19">
        <v>46284</v>
      </c>
      <c r="B24" s="16" t="s">
        <v>104</v>
      </c>
      <c r="C24" s="16" t="s">
        <v>49</v>
      </c>
      <c r="D24" s="16">
        <v>0</v>
      </c>
      <c r="E24" s="18"/>
      <c r="F24" s="18"/>
      <c r="G24" s="15" t="str">
        <f t="shared" si="0"/>
        <v/>
      </c>
      <c r="H24" s="16"/>
      <c r="I24" s="17" t="str">
        <f>IF(H24&lt;&gt;"",H24,IF(G24="","",ROUND(G24*IFERROR(INDEX(Reference!$B$44:$B$50,MATCH(C24,Reference!$A$44:$A$50,0)),0),0)))</f>
        <v/>
      </c>
      <c r="J24" s="16"/>
      <c r="K24" s="16"/>
      <c r="L24" s="17" t="str">
        <f t="shared" si="1"/>
        <v/>
      </c>
      <c r="M24" s="17">
        <f>IFERROR(INDEX(Roster!$D$5:$D$40,MATCH(B24,Roster!$A$5:$A$40,0)),"")</f>
        <v>87.9</v>
      </c>
      <c r="N24" s="17" t="str">
        <f t="shared" si="2"/>
        <v/>
      </c>
      <c r="O24" s="17">
        <f>IF(OR(C24="Bullpen",C24="Game"),IFERROR(INDEX(Reference!$B$61:$B$62,MATCH(C24,Reference!$A$61:$A$62,0)),""),IF(D24="","",VLOOKUP(D24,Reference!$A$6:$B$11,2,TRUE())))</f>
        <v>1</v>
      </c>
      <c r="P24" s="17" t="str">
        <f>IF(N24="","",VLOOKUP(MAX(N24,0),Reference!$A$17:$B$20,2,TRUE()))</f>
        <v/>
      </c>
      <c r="Q24" s="17" t="str">
        <f>IF(AND(OR(I24="",O24="",P24=""),OR(R24="",W24=""),OR(X24="",AC24="")),"",IF(OR(I24="",O24="",P24=""),0,I24*O24*P24)+IF(OR(R24="",W24=""),0,R24*IFERROR(INDEX(Reference!$B$61:$B$62,MATCH("Bullpen",Reference!$A$61:$A$62,0)),0)*W24)+IF(OR(X24="",AC24=""),0,X24*VLOOKUP(60,Reference!$A$6:$B$11,2,TRUE())*AC24))</f>
        <v/>
      </c>
      <c r="R24" s="16"/>
      <c r="S24" s="16"/>
      <c r="T24" s="16"/>
      <c r="U24" s="17" t="str">
        <f t="shared" si="3"/>
        <v/>
      </c>
      <c r="V24" s="17" t="str">
        <f t="shared" si="4"/>
        <v/>
      </c>
      <c r="W24" s="17" t="str">
        <f>IF(V24="","",VLOOKUP(MAX(V24,0),Reference!$A$17:$B$20,2,TRUE()))</f>
        <v/>
      </c>
      <c r="X24" s="16"/>
      <c r="Y24" s="16"/>
      <c r="Z24" s="16"/>
      <c r="AA24" s="17" t="str">
        <f t="shared" si="5"/>
        <v/>
      </c>
      <c r="AB24" s="17" t="str">
        <f t="shared" si="6"/>
        <v/>
      </c>
      <c r="AC24" s="17" t="str">
        <f>IF(AB24="","",VLOOKUP(MAX(AB24,0),Reference!$A$17:$B$20,2,TRUE()))</f>
        <v/>
      </c>
      <c r="AD24" s="16"/>
    </row>
    <row r="25" spans="1:30" x14ac:dyDescent="0.3">
      <c r="A25" s="19">
        <v>46285</v>
      </c>
      <c r="B25" s="16" t="s">
        <v>104</v>
      </c>
      <c r="C25" s="16" t="s">
        <v>55</v>
      </c>
      <c r="D25" s="16">
        <v>75</v>
      </c>
      <c r="E25" s="18">
        <v>7.2916666666666699E-2</v>
      </c>
      <c r="F25" s="18">
        <v>7.9861111111111105E-2</v>
      </c>
      <c r="G25" s="15">
        <f t="shared" si="0"/>
        <v>9.9999999999999449</v>
      </c>
      <c r="H25" s="16"/>
      <c r="I25" s="17">
        <f>IF(H25&lt;&gt;"",H25,IF(G25="","",ROUND(G25*IFERROR(INDEX(Reference!$B$44:$B$50,MATCH(C25,Reference!$A$44:$A$50,0)),0),0)))</f>
        <v>45</v>
      </c>
      <c r="J25" s="16">
        <v>72</v>
      </c>
      <c r="K25" s="16">
        <v>75</v>
      </c>
      <c r="L25" s="17">
        <f t="shared" si="1"/>
        <v>73.5</v>
      </c>
      <c r="M25" s="17">
        <f>IFERROR(INDEX(Roster!$D$5:$D$40,MATCH(B25,Roster!$A$5:$A$40,0)),"")</f>
        <v>87.9</v>
      </c>
      <c r="N25" s="17">
        <f t="shared" si="2"/>
        <v>14.400000000000006</v>
      </c>
      <c r="O25" s="17">
        <f>IF(OR(C25="Bullpen",C25="Game"),IFERROR(INDEX(Reference!$B$61:$B$62,MATCH(C25,Reference!$A$61:$A$62,0)),""),IF(D25="","",VLOOKUP(D25,Reference!$A$6:$B$11,2,TRUE())))</f>
        <v>1.3</v>
      </c>
      <c r="P25" s="17">
        <f>IF(N25="","",VLOOKUP(MAX(N25,0),Reference!$A$17:$B$20,2,TRUE()))</f>
        <v>0.6</v>
      </c>
      <c r="Q25" s="17">
        <f>IF(AND(OR(I25="",O25="",P25=""),OR(R25="",W25=""),OR(X25="",AC25="")),"",IF(OR(I25="",O25="",P25=""),0,I25*O25*P25)+IF(OR(R25="",W25=""),0,R25*IFERROR(INDEX(Reference!$B$61:$B$62,MATCH("Bullpen",Reference!$A$61:$A$62,0)),0)*W25)+IF(OR(X25="",AC25=""),0,X25*VLOOKUP(60,Reference!$A$6:$B$11,2,TRUE())*AC25))</f>
        <v>35.1</v>
      </c>
      <c r="R25" s="16"/>
      <c r="S25" s="16"/>
      <c r="T25" s="16"/>
      <c r="U25" s="17" t="str">
        <f t="shared" si="3"/>
        <v/>
      </c>
      <c r="V25" s="17" t="str">
        <f t="shared" si="4"/>
        <v/>
      </c>
      <c r="W25" s="17" t="str">
        <f>IF(V25="","",VLOOKUP(MAX(V25,0),Reference!$A$17:$B$20,2,TRUE()))</f>
        <v/>
      </c>
      <c r="X25" s="16"/>
      <c r="Y25" s="16"/>
      <c r="Z25" s="16"/>
      <c r="AA25" s="17" t="str">
        <f t="shared" si="5"/>
        <v/>
      </c>
      <c r="AB25" s="17" t="str">
        <f t="shared" si="6"/>
        <v/>
      </c>
      <c r="AC25" s="17" t="str">
        <f>IF(AB25="","",VLOOKUP(MAX(AB25,0),Reference!$A$17:$B$20,2,TRUE()))</f>
        <v/>
      </c>
      <c r="AD25" s="16"/>
    </row>
    <row r="26" spans="1:30" x14ac:dyDescent="0.3">
      <c r="A26" s="19">
        <v>46286</v>
      </c>
      <c r="B26" s="16" t="s">
        <v>104</v>
      </c>
      <c r="C26" s="16" t="s">
        <v>52</v>
      </c>
      <c r="D26" s="16"/>
      <c r="E26" s="18">
        <v>7.2916666666666699E-2</v>
      </c>
      <c r="F26" s="18"/>
      <c r="G26" s="15" t="str">
        <f t="shared" si="0"/>
        <v/>
      </c>
      <c r="H26" s="16">
        <v>25</v>
      </c>
      <c r="I26" s="17">
        <f>IF(H26&lt;&gt;"",H26,IF(G26="","",ROUND(G26*IFERROR(INDEX(Reference!$B$44:$B$50,MATCH(C26,Reference!$A$44:$A$50,0)),0),0)))</f>
        <v>25</v>
      </c>
      <c r="J26" s="16">
        <v>86</v>
      </c>
      <c r="K26" s="16">
        <v>88</v>
      </c>
      <c r="L26" s="17">
        <f t="shared" si="1"/>
        <v>87</v>
      </c>
      <c r="M26" s="17">
        <f>IFERROR(INDEX(Roster!$D$5:$D$40,MATCH(B26,Roster!$A$5:$A$40,0)),"")</f>
        <v>87.9</v>
      </c>
      <c r="N26" s="17">
        <f t="shared" si="2"/>
        <v>0.90000000000000568</v>
      </c>
      <c r="O26" s="17">
        <f>IF(OR(C26="Bullpen",C26="Game"),IFERROR(INDEX(Reference!$B$61:$B$62,MATCH(C26,Reference!$A$61:$A$62,0)),""),IF(D26="","",VLOOKUP(D26,Reference!$A$6:$B$11,2,TRUE())))</f>
        <v>3</v>
      </c>
      <c r="P26" s="17">
        <f>IF(N26="","",VLOOKUP(MAX(N26,0),Reference!$A$17:$B$20,2,TRUE()))</f>
        <v>2</v>
      </c>
      <c r="Q26" s="17">
        <f>IF(AND(OR(I26="",O26="",P26=""),OR(R26="",W26=""),OR(X26="",AC26="")),"",IF(OR(I26="",O26="",P26=""),0,I26*O26*P26)+IF(OR(R26="",W26=""),0,R26*IFERROR(INDEX(Reference!$B$61:$B$62,MATCH("Bullpen",Reference!$A$61:$A$62,0)),0)*W26)+IF(OR(X26="",AC26=""),0,X26*VLOOKUP(60,Reference!$A$6:$B$11,2,TRUE())*AC26))</f>
        <v>150</v>
      </c>
      <c r="R26" s="16"/>
      <c r="S26" s="16"/>
      <c r="T26" s="16"/>
      <c r="U26" s="17" t="str">
        <f t="shared" si="3"/>
        <v/>
      </c>
      <c r="V26" s="17" t="str">
        <f t="shared" si="4"/>
        <v/>
      </c>
      <c r="W26" s="17" t="str">
        <f>IF(V26="","",VLOOKUP(MAX(V26,0),Reference!$A$17:$B$20,2,TRUE()))</f>
        <v/>
      </c>
      <c r="X26" s="16"/>
      <c r="Y26" s="16"/>
      <c r="Z26" s="16"/>
      <c r="AA26" s="17" t="str">
        <f t="shared" si="5"/>
        <v/>
      </c>
      <c r="AB26" s="17" t="str">
        <f t="shared" si="6"/>
        <v/>
      </c>
      <c r="AC26" s="17" t="str">
        <f>IF(AB26="","",VLOOKUP(MAX(AB26,0),Reference!$A$17:$B$20,2,TRUE()))</f>
        <v/>
      </c>
      <c r="AD26" s="16"/>
    </row>
    <row r="27" spans="1:30" x14ac:dyDescent="0.3">
      <c r="A27" s="19">
        <v>46287</v>
      </c>
      <c r="B27" s="16" t="s">
        <v>104</v>
      </c>
      <c r="C27" s="16" t="s">
        <v>55</v>
      </c>
      <c r="D27" s="16">
        <v>75</v>
      </c>
      <c r="E27" s="18">
        <v>7.2916666666666699E-2</v>
      </c>
      <c r="F27" s="18">
        <v>7.9861111111111105E-2</v>
      </c>
      <c r="G27" s="15">
        <f t="shared" si="0"/>
        <v>9.9999999999999449</v>
      </c>
      <c r="H27" s="16"/>
      <c r="I27" s="17">
        <f>IF(H27&lt;&gt;"",H27,IF(G27="","",ROUND(G27*IFERROR(INDEX(Reference!$B$44:$B$50,MATCH(C27,Reference!$A$44:$A$50,0)),0),0)))</f>
        <v>45</v>
      </c>
      <c r="J27" s="16">
        <v>72</v>
      </c>
      <c r="K27" s="16">
        <v>75</v>
      </c>
      <c r="L27" s="17">
        <f t="shared" si="1"/>
        <v>73.5</v>
      </c>
      <c r="M27" s="17">
        <f>IFERROR(INDEX(Roster!$D$5:$D$40,MATCH(B27,Roster!$A$5:$A$40,0)),"")</f>
        <v>87.9</v>
      </c>
      <c r="N27" s="17">
        <f t="shared" si="2"/>
        <v>14.400000000000006</v>
      </c>
      <c r="O27" s="17">
        <f>IF(OR(C27="Bullpen",C27="Game"),IFERROR(INDEX(Reference!$B$61:$B$62,MATCH(C27,Reference!$A$61:$A$62,0)),""),IF(D27="","",VLOOKUP(D27,Reference!$A$6:$B$11,2,TRUE())))</f>
        <v>1.3</v>
      </c>
      <c r="P27" s="17">
        <f>IF(N27="","",VLOOKUP(MAX(N27,0),Reference!$A$17:$B$20,2,TRUE()))</f>
        <v>0.6</v>
      </c>
      <c r="Q27" s="17">
        <f>IF(AND(OR(I27="",O27="",P27=""),OR(R27="",W27=""),OR(X27="",AC27="")),"",IF(OR(I27="",O27="",P27=""),0,I27*O27*P27)+IF(OR(R27="",W27=""),0,R27*IFERROR(INDEX(Reference!$B$61:$B$62,MATCH("Bullpen",Reference!$A$61:$A$62,0)),0)*W27)+IF(OR(X27="",AC27=""),0,X27*VLOOKUP(60,Reference!$A$6:$B$11,2,TRUE())*AC27))</f>
        <v>35.1</v>
      </c>
      <c r="R27" s="16"/>
      <c r="S27" s="16"/>
      <c r="T27" s="16"/>
      <c r="U27" s="17" t="str">
        <f t="shared" si="3"/>
        <v/>
      </c>
      <c r="V27" s="17" t="str">
        <f t="shared" si="4"/>
        <v/>
      </c>
      <c r="W27" s="17" t="str">
        <f>IF(V27="","",VLOOKUP(MAX(V27,0),Reference!$A$17:$B$20,2,TRUE()))</f>
        <v/>
      </c>
      <c r="X27" s="16"/>
      <c r="Y27" s="16"/>
      <c r="Z27" s="16"/>
      <c r="AA27" s="17" t="str">
        <f t="shared" si="5"/>
        <v/>
      </c>
      <c r="AB27" s="17" t="str">
        <f t="shared" si="6"/>
        <v/>
      </c>
      <c r="AC27" s="17" t="str">
        <f>IF(AB27="","",VLOOKUP(MAX(AB27,0),Reference!$A$17:$B$20,2,TRUE()))</f>
        <v/>
      </c>
      <c r="AD27" s="16"/>
    </row>
    <row r="28" spans="1:30" x14ac:dyDescent="0.3">
      <c r="A28" s="19">
        <v>46288</v>
      </c>
      <c r="B28" s="16" t="s">
        <v>104</v>
      </c>
      <c r="C28" s="16" t="s">
        <v>53</v>
      </c>
      <c r="D28" s="16">
        <v>120</v>
      </c>
      <c r="E28" s="18">
        <v>7.5694444444444398E-2</v>
      </c>
      <c r="F28" s="18">
        <v>8.5416666666666696E-2</v>
      </c>
      <c r="G28" s="15">
        <f t="shared" si="0"/>
        <v>14.00000000000011</v>
      </c>
      <c r="H28" s="16"/>
      <c r="I28" s="17">
        <f>IF(H28&lt;&gt;"",H28,IF(G28="","",ROUND(G28*IFERROR(INDEX(Reference!$B$44:$B$50,MATCH(C28,Reference!$A$44:$A$50,0)),0),0)))</f>
        <v>49</v>
      </c>
      <c r="J28" s="16">
        <v>75</v>
      </c>
      <c r="K28" s="16">
        <v>81</v>
      </c>
      <c r="L28" s="17">
        <f t="shared" si="1"/>
        <v>78</v>
      </c>
      <c r="M28" s="17">
        <f>IFERROR(INDEX(Roster!$D$5:$D$40,MATCH(B28,Roster!$A$5:$A$40,0)),"")</f>
        <v>87.9</v>
      </c>
      <c r="N28" s="17">
        <f t="shared" si="2"/>
        <v>9.9000000000000057</v>
      </c>
      <c r="O28" s="17">
        <f>IF(OR(C28="Bullpen",C28="Game"),IFERROR(INDEX(Reference!$B$61:$B$62,MATCH(C28,Reference!$A$61:$A$62,0)),""),IF(D28="","",VLOOKUP(D28,Reference!$A$6:$B$11,2,TRUE())))</f>
        <v>1.7</v>
      </c>
      <c r="P28" s="17">
        <f>IF(N28="","",VLOOKUP(MAX(N28,0),Reference!$A$17:$B$20,2,TRUE()))</f>
        <v>1</v>
      </c>
      <c r="Q28" s="17">
        <f>IF(AND(OR(I28="",O28="",P28=""),OR(R28="",W28=""),OR(X28="",AC28="")),"",IF(OR(I28="",O28="",P28=""),0,I28*O28*P28)+IF(OR(R28="",W28=""),0,R28*IFERROR(INDEX(Reference!$B$61:$B$62,MATCH("Bullpen",Reference!$A$61:$A$62,0)),0)*W28)+IF(OR(X28="",AC28=""),0,X28*VLOOKUP(60,Reference!$A$6:$B$11,2,TRUE())*AC28))</f>
        <v>83.3</v>
      </c>
      <c r="R28" s="16"/>
      <c r="S28" s="16"/>
      <c r="T28" s="16"/>
      <c r="U28" s="17" t="str">
        <f t="shared" si="3"/>
        <v/>
      </c>
      <c r="V28" s="17" t="str">
        <f t="shared" si="4"/>
        <v/>
      </c>
      <c r="W28" s="17" t="str">
        <f>IF(V28="","",VLOOKUP(MAX(V28,0),Reference!$A$17:$B$20,2,TRUE()))</f>
        <v/>
      </c>
      <c r="X28" s="16"/>
      <c r="Y28" s="16"/>
      <c r="Z28" s="16"/>
      <c r="AA28" s="17" t="str">
        <f t="shared" si="5"/>
        <v/>
      </c>
      <c r="AB28" s="17" t="str">
        <f t="shared" si="6"/>
        <v/>
      </c>
      <c r="AC28" s="17" t="str">
        <f>IF(AB28="","",VLOOKUP(MAX(AB28,0),Reference!$A$17:$B$20,2,TRUE()))</f>
        <v/>
      </c>
      <c r="AD28" s="16"/>
    </row>
    <row r="29" spans="1:30" x14ac:dyDescent="0.3">
      <c r="A29" s="19">
        <v>46289</v>
      </c>
      <c r="B29" s="16" t="s">
        <v>104</v>
      </c>
      <c r="C29" s="16" t="s">
        <v>55</v>
      </c>
      <c r="D29" s="16">
        <v>75</v>
      </c>
      <c r="E29" s="18">
        <v>7.2916666666666699E-2</v>
      </c>
      <c r="F29" s="18">
        <v>7.9861111111111105E-2</v>
      </c>
      <c r="G29" s="15">
        <f t="shared" si="0"/>
        <v>9.9999999999999449</v>
      </c>
      <c r="H29" s="16"/>
      <c r="I29" s="17">
        <f>IF(H29&lt;&gt;"",H29,IF(G29="","",ROUND(G29*IFERROR(INDEX(Reference!$B$44:$B$50,MATCH(C29,Reference!$A$44:$A$50,0)),0),0)))</f>
        <v>45</v>
      </c>
      <c r="J29" s="16">
        <v>72</v>
      </c>
      <c r="K29" s="16">
        <v>75</v>
      </c>
      <c r="L29" s="17">
        <f t="shared" si="1"/>
        <v>73.5</v>
      </c>
      <c r="M29" s="17">
        <f>IFERROR(INDEX(Roster!$D$5:$D$40,MATCH(B29,Roster!$A$5:$A$40,0)),"")</f>
        <v>87.9</v>
      </c>
      <c r="N29" s="17">
        <f t="shared" si="2"/>
        <v>14.400000000000006</v>
      </c>
      <c r="O29" s="17">
        <f>IF(OR(C29="Bullpen",C29="Game"),IFERROR(INDEX(Reference!$B$61:$B$62,MATCH(C29,Reference!$A$61:$A$62,0)),""),IF(D29="","",VLOOKUP(D29,Reference!$A$6:$B$11,2,TRUE())))</f>
        <v>1.3</v>
      </c>
      <c r="P29" s="17">
        <f>IF(N29="","",VLOOKUP(MAX(N29,0),Reference!$A$17:$B$20,2,TRUE()))</f>
        <v>0.6</v>
      </c>
      <c r="Q29" s="17">
        <f>IF(AND(OR(I29="",O29="",P29=""),OR(R29="",W29=""),OR(X29="",AC29="")),"",IF(OR(I29="",O29="",P29=""),0,I29*O29*P29)+IF(OR(R29="",W29=""),0,R29*IFERROR(INDEX(Reference!$B$61:$B$62,MATCH("Bullpen",Reference!$A$61:$A$62,0)),0)*W29)+IF(OR(X29="",AC29=""),0,X29*VLOOKUP(60,Reference!$A$6:$B$11,2,TRUE())*AC29))</f>
        <v>35.1</v>
      </c>
      <c r="R29" s="16"/>
      <c r="S29" s="16"/>
      <c r="T29" s="16"/>
      <c r="U29" s="17" t="str">
        <f t="shared" si="3"/>
        <v/>
      </c>
      <c r="V29" s="17" t="str">
        <f t="shared" si="4"/>
        <v/>
      </c>
      <c r="W29" s="17" t="str">
        <f>IF(V29="","",VLOOKUP(MAX(V29,0),Reference!$A$17:$B$20,2,TRUE()))</f>
        <v/>
      </c>
      <c r="X29" s="16"/>
      <c r="Y29" s="16"/>
      <c r="Z29" s="16"/>
      <c r="AA29" s="17" t="str">
        <f t="shared" si="5"/>
        <v/>
      </c>
      <c r="AB29" s="17" t="str">
        <f t="shared" si="6"/>
        <v/>
      </c>
      <c r="AC29" s="17" t="str">
        <f>IF(AB29="","",VLOOKUP(MAX(AB29,0),Reference!$A$17:$B$20,2,TRUE()))</f>
        <v/>
      </c>
      <c r="AD29" s="16"/>
    </row>
    <row r="30" spans="1:30" x14ac:dyDescent="0.3">
      <c r="A30" s="19">
        <v>46290</v>
      </c>
      <c r="B30" s="16" t="s">
        <v>104</v>
      </c>
      <c r="C30" s="16" t="s">
        <v>52</v>
      </c>
      <c r="D30" s="16"/>
      <c r="E30" s="18"/>
      <c r="F30" s="18"/>
      <c r="G30" s="15" t="str">
        <f t="shared" si="0"/>
        <v/>
      </c>
      <c r="H30" s="16">
        <v>25</v>
      </c>
      <c r="I30" s="17">
        <f>IF(H30&lt;&gt;"",H30,IF(G30="","",ROUND(G30*IFERROR(INDEX(Reference!$B$44:$B$50,MATCH(C30,Reference!$A$44:$A$50,0)),0),0)))</f>
        <v>25</v>
      </c>
      <c r="J30" s="16">
        <v>84</v>
      </c>
      <c r="K30" s="16">
        <v>86</v>
      </c>
      <c r="L30" s="17">
        <f t="shared" si="1"/>
        <v>85</v>
      </c>
      <c r="M30" s="17">
        <f>IFERROR(INDEX(Roster!$D$5:$D$40,MATCH(B30,Roster!$A$5:$A$40,0)),"")</f>
        <v>87.9</v>
      </c>
      <c r="N30" s="17">
        <f t="shared" si="2"/>
        <v>2.9000000000000057</v>
      </c>
      <c r="O30" s="17">
        <f>IF(OR(C30="Bullpen",C30="Game"),IFERROR(INDEX(Reference!$B$61:$B$62,MATCH(C30,Reference!$A$61:$A$62,0)),""),IF(D30="","",VLOOKUP(D30,Reference!$A$6:$B$11,2,TRUE())))</f>
        <v>3</v>
      </c>
      <c r="P30" s="17">
        <f>IF(N30="","",VLOOKUP(MAX(N30,0),Reference!$A$17:$B$20,2,TRUE()))</f>
        <v>2</v>
      </c>
      <c r="Q30" s="17">
        <f>IF(AND(OR(I30="",O30="",P30=""),OR(R30="",W30=""),OR(X30="",AC30="")),"",IF(OR(I30="",O30="",P30=""),0,I30*O30*P30)+IF(OR(R30="",W30=""),0,R30*IFERROR(INDEX(Reference!$B$61:$B$62,MATCH("Bullpen",Reference!$A$61:$A$62,0)),0)*W30)+IF(OR(X30="",AC30=""),0,X30*VLOOKUP(60,Reference!$A$6:$B$11,2,TRUE())*AC30))</f>
        <v>150</v>
      </c>
      <c r="R30" s="16"/>
      <c r="S30" s="16"/>
      <c r="T30" s="16"/>
      <c r="U30" s="17" t="str">
        <f t="shared" si="3"/>
        <v/>
      </c>
      <c r="V30" s="17" t="str">
        <f t="shared" si="4"/>
        <v/>
      </c>
      <c r="W30" s="17" t="str">
        <f>IF(V30="","",VLOOKUP(MAX(V30,0),Reference!$A$17:$B$20,2,TRUE()))</f>
        <v/>
      </c>
      <c r="X30" s="16"/>
      <c r="Y30" s="16"/>
      <c r="Z30" s="16"/>
      <c r="AA30" s="17" t="str">
        <f t="shared" si="5"/>
        <v/>
      </c>
      <c r="AB30" s="17" t="str">
        <f t="shared" si="6"/>
        <v/>
      </c>
      <c r="AC30" s="17" t="str">
        <f>IF(AB30="","",VLOOKUP(MAX(AB30,0),Reference!$A$17:$B$20,2,TRUE()))</f>
        <v/>
      </c>
      <c r="AD30" s="16"/>
    </row>
    <row r="31" spans="1:30" x14ac:dyDescent="0.3">
      <c r="A31" s="19">
        <v>46291</v>
      </c>
      <c r="B31" s="16" t="s">
        <v>104</v>
      </c>
      <c r="C31" s="16" t="s">
        <v>55</v>
      </c>
      <c r="D31" s="16">
        <v>75</v>
      </c>
      <c r="E31" s="18">
        <v>7.2916666666666699E-2</v>
      </c>
      <c r="F31" s="18">
        <v>7.9861111111111105E-2</v>
      </c>
      <c r="G31" s="15">
        <f t="shared" si="0"/>
        <v>9.9999999999999449</v>
      </c>
      <c r="H31" s="16"/>
      <c r="I31" s="17">
        <f>IF(H31&lt;&gt;"",H31,IF(G31="","",ROUND(G31*IFERROR(INDEX(Reference!$B$44:$B$50,MATCH(C31,Reference!$A$44:$A$50,0)),0),0)))</f>
        <v>45</v>
      </c>
      <c r="J31" s="16">
        <v>72</v>
      </c>
      <c r="K31" s="16">
        <v>75</v>
      </c>
      <c r="L31" s="17">
        <f t="shared" si="1"/>
        <v>73.5</v>
      </c>
      <c r="M31" s="17">
        <f>IFERROR(INDEX(Roster!$D$5:$D$40,MATCH(B31,Roster!$A$5:$A$40,0)),"")</f>
        <v>87.9</v>
      </c>
      <c r="N31" s="17">
        <f t="shared" si="2"/>
        <v>14.400000000000006</v>
      </c>
      <c r="O31" s="17">
        <f>IF(OR(C31="Bullpen",C31="Game"),IFERROR(INDEX(Reference!$B$61:$B$62,MATCH(C31,Reference!$A$61:$A$62,0)),""),IF(D31="","",VLOOKUP(D31,Reference!$A$6:$B$11,2,TRUE())))</f>
        <v>1.3</v>
      </c>
      <c r="P31" s="17">
        <f>IF(N31="","",VLOOKUP(MAX(N31,0),Reference!$A$17:$B$20,2,TRUE()))</f>
        <v>0.6</v>
      </c>
      <c r="Q31" s="17">
        <f>IF(AND(OR(I31="",O31="",P31=""),OR(R31="",W31=""),OR(X31="",AC31="")),"",IF(OR(I31="",O31="",P31=""),0,I31*O31*P31)+IF(OR(R31="",W31=""),0,R31*IFERROR(INDEX(Reference!$B$61:$B$62,MATCH("Bullpen",Reference!$A$61:$A$62,0)),0)*W31)+IF(OR(X31="",AC31=""),0,X31*VLOOKUP(60,Reference!$A$6:$B$11,2,TRUE())*AC31))</f>
        <v>35.1</v>
      </c>
      <c r="R31" s="16"/>
      <c r="S31" s="16"/>
      <c r="T31" s="16"/>
      <c r="U31" s="17" t="str">
        <f t="shared" si="3"/>
        <v/>
      </c>
      <c r="V31" s="17" t="str">
        <f t="shared" si="4"/>
        <v/>
      </c>
      <c r="W31" s="17" t="str">
        <f>IF(V31="","",VLOOKUP(MAX(V31,0),Reference!$A$17:$B$20,2,TRUE()))</f>
        <v/>
      </c>
      <c r="X31" s="16"/>
      <c r="Y31" s="16"/>
      <c r="Z31" s="16"/>
      <c r="AA31" s="17" t="str">
        <f t="shared" si="5"/>
        <v/>
      </c>
      <c r="AB31" s="17" t="str">
        <f t="shared" si="6"/>
        <v/>
      </c>
      <c r="AC31" s="17" t="str">
        <f>IF(AB31="","",VLOOKUP(MAX(AB31,0),Reference!$A$17:$B$20,2,TRUE()))</f>
        <v/>
      </c>
      <c r="AD31" s="16"/>
    </row>
    <row r="32" spans="1:30" x14ac:dyDescent="0.3">
      <c r="A32" s="19">
        <v>46292</v>
      </c>
      <c r="B32" s="16" t="s">
        <v>104</v>
      </c>
      <c r="C32" s="16" t="s">
        <v>53</v>
      </c>
      <c r="D32" s="16">
        <v>90</v>
      </c>
      <c r="E32" s="18">
        <v>7.5694444444444398E-2</v>
      </c>
      <c r="F32" s="18">
        <v>8.3333333333333301E-2</v>
      </c>
      <c r="G32" s="15">
        <f t="shared" si="0"/>
        <v>11.000000000000021</v>
      </c>
      <c r="H32" s="16"/>
      <c r="I32" s="17">
        <f>IF(H32&lt;&gt;"",H32,IF(G32="","",ROUND(G32*IFERROR(INDEX(Reference!$B$44:$B$50,MATCH(C32,Reference!$A$44:$A$50,0)),0),0)))</f>
        <v>39</v>
      </c>
      <c r="J32" s="16">
        <v>75</v>
      </c>
      <c r="K32" s="16">
        <v>81</v>
      </c>
      <c r="L32" s="17">
        <f t="shared" si="1"/>
        <v>78</v>
      </c>
      <c r="M32" s="17">
        <f>IFERROR(INDEX(Roster!$D$5:$D$40,MATCH(B32,Roster!$A$5:$A$40,0)),"")</f>
        <v>87.9</v>
      </c>
      <c r="N32" s="17">
        <f t="shared" si="2"/>
        <v>9.9000000000000057</v>
      </c>
      <c r="O32" s="17">
        <f>IF(OR(C32="Bullpen",C32="Game"),IFERROR(INDEX(Reference!$B$61:$B$62,MATCH(C32,Reference!$A$61:$A$62,0)),""),IF(D32="","",VLOOKUP(D32,Reference!$A$6:$B$11,2,TRUE())))</f>
        <v>1.3</v>
      </c>
      <c r="P32" s="17">
        <f>IF(N32="","",VLOOKUP(MAX(N32,0),Reference!$A$17:$B$20,2,TRUE()))</f>
        <v>1</v>
      </c>
      <c r="Q32" s="17">
        <f>IF(AND(OR(I32="",O32="",P32=""),OR(R32="",W32=""),OR(X32="",AC32="")),"",IF(OR(I32="",O32="",P32=""),0,I32*O32*P32)+IF(OR(R32="",W32=""),0,R32*IFERROR(INDEX(Reference!$B$61:$B$62,MATCH("Bullpen",Reference!$A$61:$A$62,0)),0)*W32)+IF(OR(X32="",AC32=""),0,X32*VLOOKUP(60,Reference!$A$6:$B$11,2,TRUE())*AC32))</f>
        <v>50.7</v>
      </c>
      <c r="R32" s="16"/>
      <c r="S32" s="16"/>
      <c r="T32" s="16"/>
      <c r="U32" s="17" t="str">
        <f t="shared" si="3"/>
        <v/>
      </c>
      <c r="V32" s="17" t="str">
        <f t="shared" si="4"/>
        <v/>
      </c>
      <c r="W32" s="17" t="str">
        <f>IF(V32="","",VLOOKUP(MAX(V32,0),Reference!$A$17:$B$20,2,TRUE()))</f>
        <v/>
      </c>
      <c r="X32" s="16"/>
      <c r="Y32" s="16"/>
      <c r="Z32" s="16"/>
      <c r="AA32" s="17" t="str">
        <f t="shared" si="5"/>
        <v/>
      </c>
      <c r="AB32" s="17" t="str">
        <f t="shared" si="6"/>
        <v/>
      </c>
      <c r="AC32" s="17" t="str">
        <f>IF(AB32="","",VLOOKUP(MAX(AB32,0),Reference!$A$17:$B$20,2,TRUE()))</f>
        <v/>
      </c>
      <c r="AD32" s="16"/>
    </row>
    <row r="33" spans="1:30" x14ac:dyDescent="0.3">
      <c r="A33" s="19">
        <v>46293</v>
      </c>
      <c r="B33" s="16" t="s">
        <v>104</v>
      </c>
      <c r="C33" s="16" t="s">
        <v>54</v>
      </c>
      <c r="D33" s="16"/>
      <c r="E33" s="18"/>
      <c r="F33" s="18"/>
      <c r="G33" s="15" t="str">
        <f t="shared" si="0"/>
        <v/>
      </c>
      <c r="H33" s="16">
        <v>13</v>
      </c>
      <c r="I33" s="17">
        <f>IF(H33&lt;&gt;"",H33,IF(G33="","",ROUND(G33*IFERROR(INDEX(Reference!$B$44:$B$50,MATCH(C33,Reference!$A$44:$A$50,0)),0),0)))</f>
        <v>13</v>
      </c>
      <c r="J33" s="16">
        <v>87</v>
      </c>
      <c r="K33" s="16">
        <v>89</v>
      </c>
      <c r="L33" s="17">
        <f t="shared" si="1"/>
        <v>88</v>
      </c>
      <c r="M33" s="17">
        <f>IFERROR(INDEX(Roster!$D$5:$D$40,MATCH(B33,Roster!$A$5:$A$40,0)),"")</f>
        <v>87.9</v>
      </c>
      <c r="N33" s="17">
        <f t="shared" si="2"/>
        <v>-9.9999999999994316E-2</v>
      </c>
      <c r="O33" s="17">
        <f>IF(OR(C33="Bullpen",C33="Game"),IFERROR(INDEX(Reference!$B$61:$B$62,MATCH(C33,Reference!$A$61:$A$62,0)),""),IF(D33="","",VLOOKUP(D33,Reference!$A$6:$B$11,2,TRUE())))</f>
        <v>3.2</v>
      </c>
      <c r="P33" s="17">
        <f>IF(N33="","",VLOOKUP(MAX(N33,0),Reference!$A$17:$B$20,2,TRUE()))</f>
        <v>2</v>
      </c>
      <c r="Q33" s="17">
        <f>IF(AND(OR(I33="",O33="",P33=""),OR(R33="",W33=""),OR(X33="",AC33="")),"",IF(OR(I33="",O33="",P33=""),0,I33*O33*P33)+IF(OR(R33="",W33=""),0,R33*IFERROR(INDEX(Reference!$B$61:$B$62,MATCH("Bullpen",Reference!$A$61:$A$62,0)),0)*W33)+IF(OR(X33="",AC33=""),0,X33*VLOOKUP(60,Reference!$A$6:$B$11,2,TRUE())*AC33))</f>
        <v>182.2</v>
      </c>
      <c r="R33" s="16">
        <v>22</v>
      </c>
      <c r="S33" s="16">
        <v>80</v>
      </c>
      <c r="T33" s="16">
        <v>87</v>
      </c>
      <c r="U33" s="17">
        <f t="shared" si="3"/>
        <v>83.5</v>
      </c>
      <c r="V33" s="17">
        <f t="shared" si="4"/>
        <v>4.4000000000000057</v>
      </c>
      <c r="W33" s="17">
        <f>IF(V33="","",VLOOKUP(MAX(V33,0),Reference!$A$17:$B$20,2,TRUE()))</f>
        <v>1.5</v>
      </c>
      <c r="X33" s="16"/>
      <c r="Y33" s="16"/>
      <c r="Z33" s="16"/>
      <c r="AA33" s="17" t="str">
        <f t="shared" si="5"/>
        <v/>
      </c>
      <c r="AB33" s="17" t="str">
        <f t="shared" si="6"/>
        <v/>
      </c>
      <c r="AC33" s="17" t="str">
        <f>IF(AB33="","",VLOOKUP(MAX(AB33,0),Reference!$A$17:$B$20,2,TRUE()))</f>
        <v/>
      </c>
      <c r="AD33" s="16"/>
    </row>
    <row r="34" spans="1:30" x14ac:dyDescent="0.3">
      <c r="A34" s="19">
        <v>46294</v>
      </c>
      <c r="B34" s="16" t="s">
        <v>104</v>
      </c>
      <c r="C34" s="16" t="s">
        <v>55</v>
      </c>
      <c r="D34" s="16">
        <v>90</v>
      </c>
      <c r="E34" s="18">
        <v>0.47916666666666702</v>
      </c>
      <c r="F34" s="18">
        <v>0.48680555555555555</v>
      </c>
      <c r="G34" s="15">
        <f t="shared" si="0"/>
        <v>10.999999999999481</v>
      </c>
      <c r="H34" s="16"/>
      <c r="I34" s="17">
        <f>IF(H34&lt;&gt;"",H34,IF(G34="","",ROUND(G34*IFERROR(INDEX(Reference!$B$44:$B$50,MATCH(C34,Reference!$A$44:$A$50,0)),0),0)))</f>
        <v>49</v>
      </c>
      <c r="J34" s="16">
        <v>72</v>
      </c>
      <c r="K34" s="16">
        <v>75</v>
      </c>
      <c r="L34" s="17">
        <f t="shared" si="1"/>
        <v>73.5</v>
      </c>
      <c r="M34" s="17">
        <f>IFERROR(INDEX(Roster!$D$5:$D$40,MATCH(B34,Roster!$A$5:$A$40,0)),"")</f>
        <v>87.9</v>
      </c>
      <c r="N34" s="17">
        <f t="shared" si="2"/>
        <v>14.400000000000006</v>
      </c>
      <c r="O34" s="17">
        <f>IF(OR(C34="Bullpen",C34="Game"),IFERROR(INDEX(Reference!$B$61:$B$62,MATCH(C34,Reference!$A$61:$A$62,0)),""),IF(D34="","",VLOOKUP(D34,Reference!$A$6:$B$11,2,TRUE())))</f>
        <v>1.3</v>
      </c>
      <c r="P34" s="17">
        <f>IF(N34="","",VLOOKUP(MAX(N34,0),Reference!$A$17:$B$20,2,TRUE()))</f>
        <v>0.6</v>
      </c>
      <c r="Q34" s="17">
        <f>IF(AND(OR(I34="",O34="",P34=""),OR(R34="",W34=""),OR(X34="",AC34="")),"",IF(OR(I34="",O34="",P34=""),0,I34*O34*P34)+IF(OR(R34="",W34=""),0,R34*IFERROR(INDEX(Reference!$B$61:$B$62,MATCH("Bullpen",Reference!$A$61:$A$62,0)),0)*W34)+IF(OR(X34="",AC34=""),0,X34*VLOOKUP(60,Reference!$A$6:$B$11,2,TRUE())*AC34))</f>
        <v>38.22</v>
      </c>
      <c r="R34" s="16"/>
      <c r="S34" s="16"/>
      <c r="T34" s="16"/>
      <c r="U34" s="17" t="str">
        <f t="shared" si="3"/>
        <v/>
      </c>
      <c r="V34" s="17" t="str">
        <f t="shared" si="4"/>
        <v/>
      </c>
      <c r="W34" s="17" t="str">
        <f>IF(V34="","",VLOOKUP(MAX(V34,0),Reference!$A$17:$B$20,2,TRUE()))</f>
        <v/>
      </c>
      <c r="X34" s="16"/>
      <c r="Y34" s="16"/>
      <c r="Z34" s="16"/>
      <c r="AA34" s="17" t="str">
        <f t="shared" si="5"/>
        <v/>
      </c>
      <c r="AB34" s="17" t="str">
        <f t="shared" si="6"/>
        <v/>
      </c>
      <c r="AC34" s="17" t="str">
        <f>IF(AB34="","",VLOOKUP(MAX(AB34,0),Reference!$A$17:$B$20,2,TRUE()))</f>
        <v/>
      </c>
      <c r="AD34" s="16"/>
    </row>
    <row r="35" spans="1:30" x14ac:dyDescent="0.3">
      <c r="A35" s="19"/>
      <c r="B35" s="16"/>
      <c r="C35" s="16"/>
      <c r="D35" s="16"/>
      <c r="E35" s="18"/>
      <c r="F35" s="18"/>
      <c r="G35" s="15" t="str">
        <f t="shared" si="0"/>
        <v/>
      </c>
      <c r="H35" s="16"/>
      <c r="I35" s="17" t="str">
        <f>IF(H35&lt;&gt;"",H35,IF(G35="","",ROUND(G35*IFERROR(INDEX(Reference!$B$44:$B$50,MATCH(C35,Reference!$A$44:$A$50,0)),0),0)))</f>
        <v/>
      </c>
      <c r="J35" s="16"/>
      <c r="K35" s="16"/>
      <c r="L35" s="17" t="str">
        <f t="shared" si="1"/>
        <v/>
      </c>
      <c r="M35" s="17" t="str">
        <f>IFERROR(INDEX(Roster!$D$5:$D$40,MATCH(B35,Roster!$A$5:$A$40,0)),"")</f>
        <v/>
      </c>
      <c r="N35" s="17" t="str">
        <f t="shared" si="2"/>
        <v/>
      </c>
      <c r="O35" s="17" t="str">
        <f>IF(OR(C35="Bullpen",C35="Game"),IFERROR(INDEX(Reference!$B$61:$B$62,MATCH(C35,Reference!$A$61:$A$62,0)),""),IF(D35="","",VLOOKUP(D35,Reference!$A$6:$B$11,2,TRUE())))</f>
        <v/>
      </c>
      <c r="P35" s="17" t="str">
        <f>IF(N35="","",VLOOKUP(MAX(N35,0),Reference!$A$17:$B$20,2,TRUE()))</f>
        <v/>
      </c>
      <c r="Q35" s="17" t="str">
        <f>IF(AND(OR(I35="",O35="",P35=""),OR(R35="",W35=""),OR(X35="",AC35="")),"",IF(OR(I35="",O35="",P35=""),0,I35*O35*P35)+IF(OR(R35="",W35=""),0,R35*IFERROR(INDEX(Reference!$B$61:$B$62,MATCH("Bullpen",Reference!$A$61:$A$62,0)),0)*W35)+IF(OR(X35="",AC35=""),0,X35*VLOOKUP(60,Reference!$A$6:$B$11,2,TRUE())*AC35))</f>
        <v/>
      </c>
      <c r="R35" s="16"/>
      <c r="S35" s="16"/>
      <c r="T35" s="16"/>
      <c r="U35" s="17" t="str">
        <f t="shared" si="3"/>
        <v/>
      </c>
      <c r="V35" s="17" t="str">
        <f t="shared" si="4"/>
        <v/>
      </c>
      <c r="W35" s="17" t="str">
        <f>IF(V35="","",VLOOKUP(MAX(V35,0),Reference!$A$17:$B$20,2,TRUE()))</f>
        <v/>
      </c>
      <c r="X35" s="16"/>
      <c r="Y35" s="16"/>
      <c r="Z35" s="16"/>
      <c r="AA35" s="17" t="str">
        <f t="shared" si="5"/>
        <v/>
      </c>
      <c r="AB35" s="17" t="str">
        <f t="shared" si="6"/>
        <v/>
      </c>
      <c r="AC35" s="17" t="str">
        <f>IF(AB35="","",VLOOKUP(MAX(AB35,0),Reference!$A$17:$B$20,2,TRUE()))</f>
        <v/>
      </c>
      <c r="AD35" s="16"/>
    </row>
    <row r="36" spans="1:30" x14ac:dyDescent="0.3">
      <c r="A36" s="19"/>
      <c r="B36" s="16"/>
      <c r="C36" s="16"/>
      <c r="D36" s="16"/>
      <c r="E36" s="18"/>
      <c r="F36" s="18"/>
      <c r="G36" s="15" t="str">
        <f t="shared" si="0"/>
        <v/>
      </c>
      <c r="H36" s="16"/>
      <c r="I36" s="17" t="str">
        <f>IF(H36&lt;&gt;"",H36,IF(G36="","",ROUND(G36*IFERROR(INDEX(Reference!$B$44:$B$50,MATCH(C36,Reference!$A$44:$A$50,0)),0),0)))</f>
        <v/>
      </c>
      <c r="J36" s="16"/>
      <c r="K36" s="16"/>
      <c r="L36" s="17" t="str">
        <f t="shared" si="1"/>
        <v/>
      </c>
      <c r="M36" s="17" t="str">
        <f>IFERROR(INDEX(Roster!$D$5:$D$40,MATCH(B36,Roster!$A$5:$A$40,0)),"")</f>
        <v/>
      </c>
      <c r="N36" s="17" t="str">
        <f t="shared" si="2"/>
        <v/>
      </c>
      <c r="O36" s="17" t="str">
        <f>IF(OR(C36="Bullpen",C36="Game"),IFERROR(INDEX(Reference!$B$61:$B$62,MATCH(C36,Reference!$A$61:$A$62,0)),""),IF(D36="","",VLOOKUP(D36,Reference!$A$6:$B$11,2,TRUE())))</f>
        <v/>
      </c>
      <c r="P36" s="17" t="str">
        <f>IF(N36="","",VLOOKUP(MAX(N36,0),Reference!$A$17:$B$20,2,TRUE()))</f>
        <v/>
      </c>
      <c r="Q36" s="17" t="str">
        <f>IF(AND(OR(I36="",O36="",P36=""),OR(R36="",W36=""),OR(X36="",AC36="")),"",IF(OR(I36="",O36="",P36=""),0,I36*O36*P36)+IF(OR(R36="",W36=""),0,R36*IFERROR(INDEX(Reference!$B$61:$B$62,MATCH("Bullpen",Reference!$A$61:$A$62,0)),0)*W36)+IF(OR(X36="",AC36=""),0,X36*VLOOKUP(60,Reference!$A$6:$B$11,2,TRUE())*AC36))</f>
        <v/>
      </c>
      <c r="R36" s="16"/>
      <c r="S36" s="16"/>
      <c r="T36" s="16"/>
      <c r="U36" s="17" t="str">
        <f t="shared" si="3"/>
        <v/>
      </c>
      <c r="V36" s="17" t="str">
        <f t="shared" si="4"/>
        <v/>
      </c>
      <c r="W36" s="17" t="str">
        <f>IF(V36="","",VLOOKUP(MAX(V36,0),Reference!$A$17:$B$20,2,TRUE()))</f>
        <v/>
      </c>
      <c r="X36" s="16"/>
      <c r="Y36" s="16"/>
      <c r="Z36" s="16"/>
      <c r="AA36" s="17" t="str">
        <f t="shared" si="5"/>
        <v/>
      </c>
      <c r="AB36" s="17" t="str">
        <f t="shared" si="6"/>
        <v/>
      </c>
      <c r="AC36" s="17" t="str">
        <f>IF(AB36="","",VLOOKUP(MAX(AB36,0),Reference!$A$17:$B$20,2,TRUE()))</f>
        <v/>
      </c>
      <c r="AD36" s="16"/>
    </row>
    <row r="37" spans="1:30" x14ac:dyDescent="0.3">
      <c r="A37" s="19"/>
      <c r="B37" s="16"/>
      <c r="C37" s="16"/>
      <c r="D37" s="16"/>
      <c r="E37" s="18"/>
      <c r="F37" s="18"/>
      <c r="G37" s="15" t="str">
        <f t="shared" si="0"/>
        <v/>
      </c>
      <c r="H37" s="16"/>
      <c r="I37" s="17" t="str">
        <f>IF(H37&lt;&gt;"",H37,IF(G37="","",ROUND(G37*IFERROR(INDEX(Reference!$B$44:$B$50,MATCH(C37,Reference!$A$44:$A$50,0)),0),0)))</f>
        <v/>
      </c>
      <c r="J37" s="16"/>
      <c r="K37" s="16"/>
      <c r="L37" s="17" t="str">
        <f t="shared" si="1"/>
        <v/>
      </c>
      <c r="M37" s="17" t="str">
        <f>IFERROR(INDEX(Roster!$D$5:$D$40,MATCH(B37,Roster!$A$5:$A$40,0)),"")</f>
        <v/>
      </c>
      <c r="N37" s="17" t="str">
        <f t="shared" si="2"/>
        <v/>
      </c>
      <c r="O37" s="17" t="str">
        <f>IF(OR(C37="Bullpen",C37="Game"),IFERROR(INDEX(Reference!$B$61:$B$62,MATCH(C37,Reference!$A$61:$A$62,0)),""),IF(D37="","",VLOOKUP(D37,Reference!$A$6:$B$11,2,TRUE())))</f>
        <v/>
      </c>
      <c r="P37" s="17" t="str">
        <f>IF(N37="","",VLOOKUP(MAX(N37,0),Reference!$A$17:$B$20,2,TRUE()))</f>
        <v/>
      </c>
      <c r="Q37" s="17" t="str">
        <f>IF(AND(OR(I37="",O37="",P37=""),OR(R37="",W37=""),OR(X37="",AC37="")),"",IF(OR(I37="",O37="",P37=""),0,I37*O37*P37)+IF(OR(R37="",W37=""),0,R37*IFERROR(INDEX(Reference!$B$61:$B$62,MATCH("Bullpen",Reference!$A$61:$A$62,0)),0)*W37)+IF(OR(X37="",AC37=""),0,X37*VLOOKUP(60,Reference!$A$6:$B$11,2,TRUE())*AC37))</f>
        <v/>
      </c>
      <c r="R37" s="16"/>
      <c r="S37" s="16"/>
      <c r="T37" s="16"/>
      <c r="U37" s="17" t="str">
        <f t="shared" si="3"/>
        <v/>
      </c>
      <c r="V37" s="17" t="str">
        <f t="shared" si="4"/>
        <v/>
      </c>
      <c r="W37" s="17" t="str">
        <f>IF(V37="","",VLOOKUP(MAX(V37,0),Reference!$A$17:$B$20,2,TRUE()))</f>
        <v/>
      </c>
      <c r="X37" s="16"/>
      <c r="Y37" s="16"/>
      <c r="Z37" s="16"/>
      <c r="AA37" s="17" t="str">
        <f t="shared" si="5"/>
        <v/>
      </c>
      <c r="AB37" s="17" t="str">
        <f t="shared" si="6"/>
        <v/>
      </c>
      <c r="AC37" s="17" t="str">
        <f>IF(AB37="","",VLOOKUP(MAX(AB37,0),Reference!$A$17:$B$20,2,TRUE()))</f>
        <v/>
      </c>
      <c r="AD37" s="16"/>
    </row>
    <row r="38" spans="1:30" x14ac:dyDescent="0.3">
      <c r="A38" s="19"/>
      <c r="B38" s="16"/>
      <c r="C38" s="16"/>
      <c r="D38" s="16"/>
      <c r="E38" s="18"/>
      <c r="F38" s="18"/>
      <c r="G38" s="15" t="str">
        <f t="shared" si="0"/>
        <v/>
      </c>
      <c r="H38" s="16"/>
      <c r="I38" s="17" t="str">
        <f>IF(H38&lt;&gt;"",H38,IF(G38="","",ROUND(G38*IFERROR(INDEX(Reference!$B$44:$B$50,MATCH(C38,Reference!$A$44:$A$50,0)),0),0)))</f>
        <v/>
      </c>
      <c r="J38" s="16"/>
      <c r="K38" s="16"/>
      <c r="L38" s="17" t="str">
        <f t="shared" si="1"/>
        <v/>
      </c>
      <c r="M38" s="17" t="str">
        <f>IFERROR(INDEX(Roster!$D$5:$D$40,MATCH(B38,Roster!$A$5:$A$40,0)),"")</f>
        <v/>
      </c>
      <c r="N38" s="17" t="str">
        <f t="shared" si="2"/>
        <v/>
      </c>
      <c r="O38" s="17" t="str">
        <f>IF(OR(C38="Bullpen",C38="Game"),IFERROR(INDEX(Reference!$B$61:$B$62,MATCH(C38,Reference!$A$61:$A$62,0)),""),IF(D38="","",VLOOKUP(D38,Reference!$A$6:$B$11,2,TRUE())))</f>
        <v/>
      </c>
      <c r="P38" s="17" t="str">
        <f>IF(N38="","",VLOOKUP(MAX(N38,0),Reference!$A$17:$B$20,2,TRUE()))</f>
        <v/>
      </c>
      <c r="Q38" s="17" t="str">
        <f>IF(AND(OR(I38="",O38="",P38=""),OR(R38="",W38=""),OR(X38="",AC38="")),"",IF(OR(I38="",O38="",P38=""),0,I38*O38*P38)+IF(OR(R38="",W38=""),0,R38*IFERROR(INDEX(Reference!$B$61:$B$62,MATCH("Bullpen",Reference!$A$61:$A$62,0)),0)*W38)+IF(OR(X38="",AC38=""),0,X38*VLOOKUP(60,Reference!$A$6:$B$11,2,TRUE())*AC38))</f>
        <v/>
      </c>
      <c r="R38" s="16"/>
      <c r="S38" s="16"/>
      <c r="T38" s="16"/>
      <c r="U38" s="17" t="str">
        <f t="shared" si="3"/>
        <v/>
      </c>
      <c r="V38" s="17" t="str">
        <f t="shared" si="4"/>
        <v/>
      </c>
      <c r="W38" s="17" t="str">
        <f>IF(V38="","",VLOOKUP(MAX(V38,0),Reference!$A$17:$B$20,2,TRUE()))</f>
        <v/>
      </c>
      <c r="X38" s="16"/>
      <c r="Y38" s="16"/>
      <c r="Z38" s="16"/>
      <c r="AA38" s="17" t="str">
        <f t="shared" si="5"/>
        <v/>
      </c>
      <c r="AB38" s="17" t="str">
        <f t="shared" si="6"/>
        <v/>
      </c>
      <c r="AC38" s="17" t="str">
        <f>IF(AB38="","",VLOOKUP(MAX(AB38,0),Reference!$A$17:$B$20,2,TRUE()))</f>
        <v/>
      </c>
      <c r="AD38" s="16"/>
    </row>
    <row r="39" spans="1:30" x14ac:dyDescent="0.3">
      <c r="A39" s="19"/>
      <c r="B39" s="16"/>
      <c r="C39" s="16"/>
      <c r="D39" s="16"/>
      <c r="E39" s="18"/>
      <c r="F39" s="18"/>
      <c r="G39" s="15" t="str">
        <f t="shared" si="0"/>
        <v/>
      </c>
      <c r="H39" s="16"/>
      <c r="I39" s="17" t="str">
        <f>IF(H39&lt;&gt;"",H39,IF(G39="","",ROUND(G39*IFERROR(INDEX(Reference!$B$44:$B$50,MATCH(C39,Reference!$A$44:$A$50,0)),0),0)))</f>
        <v/>
      </c>
      <c r="J39" s="16"/>
      <c r="K39" s="16"/>
      <c r="L39" s="17" t="str">
        <f t="shared" si="1"/>
        <v/>
      </c>
      <c r="M39" s="17" t="str">
        <f>IFERROR(INDEX(Roster!$D$5:$D$40,MATCH(B39,Roster!$A$5:$A$40,0)),"")</f>
        <v/>
      </c>
      <c r="N39" s="17" t="str">
        <f t="shared" si="2"/>
        <v/>
      </c>
      <c r="O39" s="17" t="str">
        <f>IF(OR(C39="Bullpen",C39="Game"),IFERROR(INDEX(Reference!$B$61:$B$62,MATCH(C39,Reference!$A$61:$A$62,0)),""),IF(D39="","",VLOOKUP(D39,Reference!$A$6:$B$11,2,TRUE())))</f>
        <v/>
      </c>
      <c r="P39" s="17" t="str">
        <f>IF(N39="","",VLOOKUP(MAX(N39,0),Reference!$A$17:$B$20,2,TRUE()))</f>
        <v/>
      </c>
      <c r="Q39" s="17" t="str">
        <f>IF(AND(OR(I39="",O39="",P39=""),OR(R39="",W39=""),OR(X39="",AC39="")),"",IF(OR(I39="",O39="",P39=""),0,I39*O39*P39)+IF(OR(R39="",W39=""),0,R39*IFERROR(INDEX(Reference!$B$61:$B$62,MATCH("Bullpen",Reference!$A$61:$A$62,0)),0)*W39)+IF(OR(X39="",AC39=""),0,X39*VLOOKUP(60,Reference!$A$6:$B$11,2,TRUE())*AC39))</f>
        <v/>
      </c>
      <c r="R39" s="16"/>
      <c r="S39" s="16"/>
      <c r="T39" s="16"/>
      <c r="U39" s="17" t="str">
        <f t="shared" si="3"/>
        <v/>
      </c>
      <c r="V39" s="17" t="str">
        <f t="shared" si="4"/>
        <v/>
      </c>
      <c r="W39" s="17" t="str">
        <f>IF(V39="","",VLOOKUP(MAX(V39,0),Reference!$A$17:$B$20,2,TRUE()))</f>
        <v/>
      </c>
      <c r="X39" s="16"/>
      <c r="Y39" s="16"/>
      <c r="Z39" s="16"/>
      <c r="AA39" s="17" t="str">
        <f t="shared" si="5"/>
        <v/>
      </c>
      <c r="AB39" s="17" t="str">
        <f t="shared" si="6"/>
        <v/>
      </c>
      <c r="AC39" s="17" t="str">
        <f>IF(AB39="","",VLOOKUP(MAX(AB39,0),Reference!$A$17:$B$20,2,TRUE()))</f>
        <v/>
      </c>
      <c r="AD39" s="16"/>
    </row>
    <row r="40" spans="1:30" x14ac:dyDescent="0.3">
      <c r="A40" s="19"/>
      <c r="B40" s="16"/>
      <c r="C40" s="16"/>
      <c r="D40" s="16"/>
      <c r="E40" s="18"/>
      <c r="F40" s="18"/>
      <c r="G40" s="15" t="str">
        <f t="shared" si="0"/>
        <v/>
      </c>
      <c r="H40" s="16"/>
      <c r="I40" s="17" t="str">
        <f>IF(H40&lt;&gt;"",H40,IF(G40="","",ROUND(G40*IFERROR(INDEX(Reference!$B$44:$B$50,MATCH(C40,Reference!$A$44:$A$50,0)),0),0)))</f>
        <v/>
      </c>
      <c r="J40" s="16"/>
      <c r="K40" s="16"/>
      <c r="L40" s="17" t="str">
        <f t="shared" si="1"/>
        <v/>
      </c>
      <c r="M40" s="17" t="str">
        <f>IFERROR(INDEX(Roster!$D$5:$D$40,MATCH(B40,Roster!$A$5:$A$40,0)),"")</f>
        <v/>
      </c>
      <c r="N40" s="17" t="str">
        <f t="shared" si="2"/>
        <v/>
      </c>
      <c r="O40" s="17" t="str">
        <f>IF(OR(C40="Bullpen",C40="Game"),IFERROR(INDEX(Reference!$B$61:$B$62,MATCH(C40,Reference!$A$61:$A$62,0)),""),IF(D40="","",VLOOKUP(D40,Reference!$A$6:$B$11,2,TRUE())))</f>
        <v/>
      </c>
      <c r="P40" s="17" t="str">
        <f>IF(N40="","",VLOOKUP(MAX(N40,0),Reference!$A$17:$B$20,2,TRUE()))</f>
        <v/>
      </c>
      <c r="Q40" s="17" t="str">
        <f>IF(AND(OR(I40="",O40="",P40=""),OR(R40="",W40=""),OR(X40="",AC40="")),"",IF(OR(I40="",O40="",P40=""),0,I40*O40*P40)+IF(OR(R40="",W40=""),0,R40*IFERROR(INDEX(Reference!$B$61:$B$62,MATCH("Bullpen",Reference!$A$61:$A$62,0)),0)*W40)+IF(OR(X40="",AC40=""),0,X40*VLOOKUP(60,Reference!$A$6:$B$11,2,TRUE())*AC40))</f>
        <v/>
      </c>
      <c r="R40" s="16"/>
      <c r="S40" s="16"/>
      <c r="T40" s="16"/>
      <c r="U40" s="17" t="str">
        <f t="shared" si="3"/>
        <v/>
      </c>
      <c r="V40" s="17" t="str">
        <f t="shared" si="4"/>
        <v/>
      </c>
      <c r="W40" s="17" t="str">
        <f>IF(V40="","",VLOOKUP(MAX(V40,0),Reference!$A$17:$B$20,2,TRUE()))</f>
        <v/>
      </c>
      <c r="X40" s="16"/>
      <c r="Y40" s="16"/>
      <c r="Z40" s="16"/>
      <c r="AA40" s="17" t="str">
        <f t="shared" si="5"/>
        <v/>
      </c>
      <c r="AB40" s="17" t="str">
        <f t="shared" si="6"/>
        <v/>
      </c>
      <c r="AC40" s="17" t="str">
        <f>IF(AB40="","",VLOOKUP(MAX(AB40,0),Reference!$A$17:$B$20,2,TRUE()))</f>
        <v/>
      </c>
      <c r="AD40" s="16"/>
    </row>
    <row r="41" spans="1:30" x14ac:dyDescent="0.3">
      <c r="A41" s="19"/>
      <c r="B41" s="16"/>
      <c r="C41" s="16"/>
      <c r="D41" s="16"/>
      <c r="E41" s="18"/>
      <c r="F41" s="18"/>
      <c r="G41" s="15" t="str">
        <f t="shared" si="0"/>
        <v/>
      </c>
      <c r="H41" s="16"/>
      <c r="I41" s="17" t="str">
        <f>IF(H41&lt;&gt;"",H41,IF(G41="","",ROUND(G41*IFERROR(INDEX(Reference!$B$44:$B$50,MATCH(C41,Reference!$A$44:$A$50,0)),0),0)))</f>
        <v/>
      </c>
      <c r="J41" s="16"/>
      <c r="K41" s="16"/>
      <c r="L41" s="17" t="str">
        <f t="shared" si="1"/>
        <v/>
      </c>
      <c r="M41" s="17" t="str">
        <f>IFERROR(INDEX(Roster!$D$5:$D$40,MATCH(B41,Roster!$A$5:$A$40,0)),"")</f>
        <v/>
      </c>
      <c r="N41" s="17" t="str">
        <f t="shared" si="2"/>
        <v/>
      </c>
      <c r="O41" s="17" t="str">
        <f>IF(OR(C41="Bullpen",C41="Game"),IFERROR(INDEX(Reference!$B$61:$B$62,MATCH(C41,Reference!$A$61:$A$62,0)),""),IF(D41="","",VLOOKUP(D41,Reference!$A$6:$B$11,2,TRUE())))</f>
        <v/>
      </c>
      <c r="P41" s="17" t="str">
        <f>IF(N41="","",VLOOKUP(MAX(N41,0),Reference!$A$17:$B$20,2,TRUE()))</f>
        <v/>
      </c>
      <c r="Q41" s="17" t="str">
        <f>IF(AND(OR(I41="",O41="",P41=""),OR(R41="",W41=""),OR(X41="",AC41="")),"",IF(OR(I41="",O41="",P41=""),0,I41*O41*P41)+IF(OR(R41="",W41=""),0,R41*IFERROR(INDEX(Reference!$B$61:$B$62,MATCH("Bullpen",Reference!$A$61:$A$62,0)),0)*W41)+IF(OR(X41="",AC41=""),0,X41*VLOOKUP(60,Reference!$A$6:$B$11,2,TRUE())*AC41))</f>
        <v/>
      </c>
      <c r="R41" s="16"/>
      <c r="S41" s="16"/>
      <c r="T41" s="16"/>
      <c r="U41" s="17" t="str">
        <f t="shared" si="3"/>
        <v/>
      </c>
      <c r="V41" s="17" t="str">
        <f t="shared" si="4"/>
        <v/>
      </c>
      <c r="W41" s="17" t="str">
        <f>IF(V41="","",VLOOKUP(MAX(V41,0),Reference!$A$17:$B$20,2,TRUE()))</f>
        <v/>
      </c>
      <c r="X41" s="16"/>
      <c r="Y41" s="16"/>
      <c r="Z41" s="16"/>
      <c r="AA41" s="17" t="str">
        <f t="shared" si="5"/>
        <v/>
      </c>
      <c r="AB41" s="17" t="str">
        <f t="shared" si="6"/>
        <v/>
      </c>
      <c r="AC41" s="17" t="str">
        <f>IF(AB41="","",VLOOKUP(MAX(AB41,0),Reference!$A$17:$B$20,2,TRUE()))</f>
        <v/>
      </c>
      <c r="AD41" s="16"/>
    </row>
    <row r="42" spans="1:30" x14ac:dyDescent="0.3">
      <c r="A42" s="19"/>
      <c r="B42" s="16"/>
      <c r="C42" s="16"/>
      <c r="D42" s="16"/>
      <c r="E42" s="18"/>
      <c r="F42" s="18"/>
      <c r="G42" s="15" t="str">
        <f t="shared" si="0"/>
        <v/>
      </c>
      <c r="H42" s="16"/>
      <c r="I42" s="17" t="str">
        <f>IF(H42&lt;&gt;"",H42,IF(G42="","",ROUND(G42*IFERROR(INDEX(Reference!$B$44:$B$50,MATCH(C42,Reference!$A$44:$A$50,0)),0),0)))</f>
        <v/>
      </c>
      <c r="J42" s="16"/>
      <c r="K42" s="16"/>
      <c r="L42" s="17" t="str">
        <f t="shared" si="1"/>
        <v/>
      </c>
      <c r="M42" s="17" t="str">
        <f>IFERROR(INDEX(Roster!$D$5:$D$40,MATCH(B42,Roster!$A$5:$A$40,0)),"")</f>
        <v/>
      </c>
      <c r="N42" s="17" t="str">
        <f t="shared" si="2"/>
        <v/>
      </c>
      <c r="O42" s="17" t="str">
        <f>IF(OR(C42="Bullpen",C42="Game"),IFERROR(INDEX(Reference!$B$61:$B$62,MATCH(C42,Reference!$A$61:$A$62,0)),""),IF(D42="","",VLOOKUP(D42,Reference!$A$6:$B$11,2,TRUE())))</f>
        <v/>
      </c>
      <c r="P42" s="17" t="str">
        <f>IF(N42="","",VLOOKUP(MAX(N42,0),Reference!$A$17:$B$20,2,TRUE()))</f>
        <v/>
      </c>
      <c r="Q42" s="17" t="str">
        <f>IF(AND(OR(I42="",O42="",P42=""),OR(R42="",W42=""),OR(X42="",AC42="")),"",IF(OR(I42="",O42="",P42=""),0,I42*O42*P42)+IF(OR(R42="",W42=""),0,R42*IFERROR(INDEX(Reference!$B$61:$B$62,MATCH("Bullpen",Reference!$A$61:$A$62,0)),0)*W42)+IF(OR(X42="",AC42=""),0,X42*VLOOKUP(60,Reference!$A$6:$B$11,2,TRUE())*AC42))</f>
        <v/>
      </c>
      <c r="R42" s="16"/>
      <c r="S42" s="16"/>
      <c r="T42" s="16"/>
      <c r="U42" s="17" t="str">
        <f t="shared" si="3"/>
        <v/>
      </c>
      <c r="V42" s="17" t="str">
        <f t="shared" si="4"/>
        <v/>
      </c>
      <c r="W42" s="17" t="str">
        <f>IF(V42="","",VLOOKUP(MAX(V42,0),Reference!$A$17:$B$20,2,TRUE()))</f>
        <v/>
      </c>
      <c r="X42" s="16"/>
      <c r="Y42" s="16"/>
      <c r="Z42" s="16"/>
      <c r="AA42" s="17" t="str">
        <f t="shared" si="5"/>
        <v/>
      </c>
      <c r="AB42" s="17" t="str">
        <f t="shared" si="6"/>
        <v/>
      </c>
      <c r="AC42" s="17" t="str">
        <f>IF(AB42="","",VLOOKUP(MAX(AB42,0),Reference!$A$17:$B$20,2,TRUE()))</f>
        <v/>
      </c>
      <c r="AD42" s="16"/>
    </row>
    <row r="43" spans="1:30" x14ac:dyDescent="0.3">
      <c r="A43" s="19"/>
      <c r="B43" s="16"/>
      <c r="C43" s="16"/>
      <c r="D43" s="16"/>
      <c r="E43" s="18"/>
      <c r="F43" s="18"/>
      <c r="G43" s="15" t="str">
        <f t="shared" si="0"/>
        <v/>
      </c>
      <c r="H43" s="16"/>
      <c r="I43" s="17" t="str">
        <f>IF(H43&lt;&gt;"",H43,IF(G43="","",ROUND(G43*IFERROR(INDEX(Reference!$B$44:$B$50,MATCH(C43,Reference!$A$44:$A$50,0)),0),0)))</f>
        <v/>
      </c>
      <c r="J43" s="16"/>
      <c r="K43" s="16"/>
      <c r="L43" s="17" t="str">
        <f t="shared" si="1"/>
        <v/>
      </c>
      <c r="M43" s="17" t="str">
        <f>IFERROR(INDEX(Roster!$D$5:$D$40,MATCH(B43,Roster!$A$5:$A$40,0)),"")</f>
        <v/>
      </c>
      <c r="N43" s="17" t="str">
        <f t="shared" si="2"/>
        <v/>
      </c>
      <c r="O43" s="17" t="str">
        <f>IF(OR(C43="Bullpen",C43="Game"),IFERROR(INDEX(Reference!$B$61:$B$62,MATCH(C43,Reference!$A$61:$A$62,0)),""),IF(D43="","",VLOOKUP(D43,Reference!$A$6:$B$11,2,TRUE())))</f>
        <v/>
      </c>
      <c r="P43" s="17" t="str">
        <f>IF(N43="","",VLOOKUP(MAX(N43,0),Reference!$A$17:$B$20,2,TRUE()))</f>
        <v/>
      </c>
      <c r="Q43" s="17" t="str">
        <f>IF(AND(OR(I43="",O43="",P43=""),OR(R43="",W43=""),OR(X43="",AC43="")),"",IF(OR(I43="",O43="",P43=""),0,I43*O43*P43)+IF(OR(R43="",W43=""),0,R43*IFERROR(INDEX(Reference!$B$61:$B$62,MATCH("Bullpen",Reference!$A$61:$A$62,0)),0)*W43)+IF(OR(X43="",AC43=""),0,X43*VLOOKUP(60,Reference!$A$6:$B$11,2,TRUE())*AC43))</f>
        <v/>
      </c>
      <c r="R43" s="16"/>
      <c r="S43" s="16"/>
      <c r="T43" s="16"/>
      <c r="U43" s="17" t="str">
        <f t="shared" si="3"/>
        <v/>
      </c>
      <c r="V43" s="17" t="str">
        <f t="shared" si="4"/>
        <v/>
      </c>
      <c r="W43" s="17" t="str">
        <f>IF(V43="","",VLOOKUP(MAX(V43,0),Reference!$A$17:$B$20,2,TRUE()))</f>
        <v/>
      </c>
      <c r="X43" s="16"/>
      <c r="Y43" s="16"/>
      <c r="Z43" s="16"/>
      <c r="AA43" s="17" t="str">
        <f t="shared" si="5"/>
        <v/>
      </c>
      <c r="AB43" s="17" t="str">
        <f t="shared" si="6"/>
        <v/>
      </c>
      <c r="AC43" s="17" t="str">
        <f>IF(AB43="","",VLOOKUP(MAX(AB43,0),Reference!$A$17:$B$20,2,TRUE()))</f>
        <v/>
      </c>
      <c r="AD43" s="16"/>
    </row>
    <row r="44" spans="1:30" x14ac:dyDescent="0.3">
      <c r="A44" s="19"/>
      <c r="B44" s="16"/>
      <c r="C44" s="16"/>
      <c r="D44" s="16"/>
      <c r="E44" s="18"/>
      <c r="F44" s="18"/>
      <c r="G44" s="15" t="str">
        <f t="shared" si="0"/>
        <v/>
      </c>
      <c r="H44" s="16"/>
      <c r="I44" s="17" t="str">
        <f>IF(H44&lt;&gt;"",H44,IF(G44="","",ROUND(G44*IFERROR(INDEX(Reference!$B$44:$B$50,MATCH(C44,Reference!$A$44:$A$50,0)),0),0)))</f>
        <v/>
      </c>
      <c r="J44" s="16"/>
      <c r="K44" s="16"/>
      <c r="L44" s="17" t="str">
        <f t="shared" si="1"/>
        <v/>
      </c>
      <c r="M44" s="17" t="str">
        <f>IFERROR(INDEX(Roster!$D$5:$D$40,MATCH(B44,Roster!$A$5:$A$40,0)),"")</f>
        <v/>
      </c>
      <c r="N44" s="17" t="str">
        <f t="shared" si="2"/>
        <v/>
      </c>
      <c r="O44" s="17" t="str">
        <f>IF(OR(C44="Bullpen",C44="Game"),IFERROR(INDEX(Reference!$B$61:$B$62,MATCH(C44,Reference!$A$61:$A$62,0)),""),IF(D44="","",VLOOKUP(D44,Reference!$A$6:$B$11,2,TRUE())))</f>
        <v/>
      </c>
      <c r="P44" s="17" t="str">
        <f>IF(N44="","",VLOOKUP(MAX(N44,0),Reference!$A$17:$B$20,2,TRUE()))</f>
        <v/>
      </c>
      <c r="Q44" s="17" t="str">
        <f>IF(AND(OR(I44="",O44="",P44=""),OR(R44="",W44=""),OR(X44="",AC44="")),"",IF(OR(I44="",O44="",P44=""),0,I44*O44*P44)+IF(OR(R44="",W44=""),0,R44*IFERROR(INDEX(Reference!$B$61:$B$62,MATCH("Bullpen",Reference!$A$61:$A$62,0)),0)*W44)+IF(OR(X44="",AC44=""),0,X44*VLOOKUP(60,Reference!$A$6:$B$11,2,TRUE())*AC44))</f>
        <v/>
      </c>
      <c r="R44" s="16"/>
      <c r="S44" s="16"/>
      <c r="T44" s="16"/>
      <c r="U44" s="17" t="str">
        <f t="shared" si="3"/>
        <v/>
      </c>
      <c r="V44" s="17" t="str">
        <f t="shared" si="4"/>
        <v/>
      </c>
      <c r="W44" s="17" t="str">
        <f>IF(V44="","",VLOOKUP(MAX(V44,0),Reference!$A$17:$B$20,2,TRUE()))</f>
        <v/>
      </c>
      <c r="X44" s="16"/>
      <c r="Y44" s="16"/>
      <c r="Z44" s="16"/>
      <c r="AA44" s="17" t="str">
        <f t="shared" si="5"/>
        <v/>
      </c>
      <c r="AB44" s="17" t="str">
        <f t="shared" si="6"/>
        <v/>
      </c>
      <c r="AC44" s="17" t="str">
        <f>IF(AB44="","",VLOOKUP(MAX(AB44,0),Reference!$A$17:$B$20,2,TRUE()))</f>
        <v/>
      </c>
      <c r="AD44" s="16"/>
    </row>
    <row r="45" spans="1:30" x14ac:dyDescent="0.3">
      <c r="A45" s="19"/>
      <c r="B45" s="16"/>
      <c r="C45" s="16"/>
      <c r="D45" s="16"/>
      <c r="E45" s="18"/>
      <c r="F45" s="18"/>
      <c r="G45" s="15" t="str">
        <f t="shared" si="0"/>
        <v/>
      </c>
      <c r="H45" s="16"/>
      <c r="I45" s="17" t="str">
        <f>IF(H45&lt;&gt;"",H45,IF(G45="","",ROUND(G45*IFERROR(INDEX(Reference!$B$44:$B$50,MATCH(C45,Reference!$A$44:$A$50,0)),0),0)))</f>
        <v/>
      </c>
      <c r="J45" s="16"/>
      <c r="K45" s="16"/>
      <c r="L45" s="17" t="str">
        <f t="shared" si="1"/>
        <v/>
      </c>
      <c r="M45" s="17" t="str">
        <f>IFERROR(INDEX(Roster!$D$5:$D$40,MATCH(B45,Roster!$A$5:$A$40,0)),"")</f>
        <v/>
      </c>
      <c r="N45" s="17" t="str">
        <f t="shared" si="2"/>
        <v/>
      </c>
      <c r="O45" s="17" t="str">
        <f>IF(OR(C45="Bullpen",C45="Game"),IFERROR(INDEX(Reference!$B$61:$B$62,MATCH(C45,Reference!$A$61:$A$62,0)),""),IF(D45="","",VLOOKUP(D45,Reference!$A$6:$B$11,2,TRUE())))</f>
        <v/>
      </c>
      <c r="P45" s="17" t="str">
        <f>IF(N45="","",VLOOKUP(MAX(N45,0),Reference!$A$17:$B$20,2,TRUE()))</f>
        <v/>
      </c>
      <c r="Q45" s="17" t="str">
        <f>IF(AND(OR(I45="",O45="",P45=""),OR(R45="",W45=""),OR(X45="",AC45="")),"",IF(OR(I45="",O45="",P45=""),0,I45*O45*P45)+IF(OR(R45="",W45=""),0,R45*IFERROR(INDEX(Reference!$B$61:$B$62,MATCH("Bullpen",Reference!$A$61:$A$62,0)),0)*W45)+IF(OR(X45="",AC45=""),0,X45*VLOOKUP(60,Reference!$A$6:$B$11,2,TRUE())*AC45))</f>
        <v/>
      </c>
      <c r="R45" s="16"/>
      <c r="S45" s="16"/>
      <c r="T45" s="16"/>
      <c r="U45" s="17" t="str">
        <f t="shared" si="3"/>
        <v/>
      </c>
      <c r="V45" s="17" t="str">
        <f t="shared" si="4"/>
        <v/>
      </c>
      <c r="W45" s="17" t="str">
        <f>IF(V45="","",VLOOKUP(MAX(V45,0),Reference!$A$17:$B$20,2,TRUE()))</f>
        <v/>
      </c>
      <c r="X45" s="16"/>
      <c r="Y45" s="16"/>
      <c r="Z45" s="16"/>
      <c r="AA45" s="17" t="str">
        <f t="shared" si="5"/>
        <v/>
      </c>
      <c r="AB45" s="17" t="str">
        <f t="shared" si="6"/>
        <v/>
      </c>
      <c r="AC45" s="17" t="str">
        <f>IF(AB45="","",VLOOKUP(MAX(AB45,0),Reference!$A$17:$B$20,2,TRUE()))</f>
        <v/>
      </c>
      <c r="AD45" s="16"/>
    </row>
    <row r="46" spans="1:30" x14ac:dyDescent="0.3">
      <c r="A46" s="19"/>
      <c r="B46" s="16"/>
      <c r="C46" s="16"/>
      <c r="D46" s="16"/>
      <c r="E46" s="18"/>
      <c r="F46" s="18"/>
      <c r="G46" s="15" t="str">
        <f t="shared" si="0"/>
        <v/>
      </c>
      <c r="H46" s="16"/>
      <c r="I46" s="17" t="str">
        <f>IF(H46&lt;&gt;"",H46,IF(G46="","",ROUND(G46*IFERROR(INDEX(Reference!$B$44:$B$50,MATCH(C46,Reference!$A$44:$A$50,0)),0),0)))</f>
        <v/>
      </c>
      <c r="J46" s="16"/>
      <c r="K46" s="16"/>
      <c r="L46" s="17" t="str">
        <f t="shared" si="1"/>
        <v/>
      </c>
      <c r="M46" s="17" t="str">
        <f>IFERROR(INDEX(Roster!$D$5:$D$40,MATCH(B46,Roster!$A$5:$A$40,0)),"")</f>
        <v/>
      </c>
      <c r="N46" s="17" t="str">
        <f t="shared" si="2"/>
        <v/>
      </c>
      <c r="O46" s="17" t="str">
        <f>IF(OR(C46="Bullpen",C46="Game"),IFERROR(INDEX(Reference!$B$61:$B$62,MATCH(C46,Reference!$A$61:$A$62,0)),""),IF(D46="","",VLOOKUP(D46,Reference!$A$6:$B$11,2,TRUE())))</f>
        <v/>
      </c>
      <c r="P46" s="17" t="str">
        <f>IF(N46="","",VLOOKUP(MAX(N46,0),Reference!$A$17:$B$20,2,TRUE()))</f>
        <v/>
      </c>
      <c r="Q46" s="17" t="str">
        <f>IF(AND(OR(I46="",O46="",P46=""),OR(R46="",W46=""),OR(X46="",AC46="")),"",IF(OR(I46="",O46="",P46=""),0,I46*O46*P46)+IF(OR(R46="",W46=""),0,R46*IFERROR(INDEX(Reference!$B$61:$B$62,MATCH("Bullpen",Reference!$A$61:$A$62,0)),0)*W46)+IF(OR(X46="",AC46=""),0,X46*VLOOKUP(60,Reference!$A$6:$B$11,2,TRUE())*AC46))</f>
        <v/>
      </c>
      <c r="R46" s="16"/>
      <c r="S46" s="16"/>
      <c r="T46" s="16"/>
      <c r="U46" s="17" t="str">
        <f t="shared" si="3"/>
        <v/>
      </c>
      <c r="V46" s="17" t="str">
        <f t="shared" si="4"/>
        <v/>
      </c>
      <c r="W46" s="17" t="str">
        <f>IF(V46="","",VLOOKUP(MAX(V46,0),Reference!$A$17:$B$20,2,TRUE()))</f>
        <v/>
      </c>
      <c r="X46" s="16"/>
      <c r="Y46" s="16"/>
      <c r="Z46" s="16"/>
      <c r="AA46" s="17" t="str">
        <f t="shared" si="5"/>
        <v/>
      </c>
      <c r="AB46" s="17" t="str">
        <f t="shared" si="6"/>
        <v/>
      </c>
      <c r="AC46" s="17" t="str">
        <f>IF(AB46="","",VLOOKUP(MAX(AB46,0),Reference!$A$17:$B$20,2,TRUE()))</f>
        <v/>
      </c>
      <c r="AD46" s="16"/>
    </row>
    <row r="47" spans="1:30" x14ac:dyDescent="0.3">
      <c r="A47" s="19"/>
      <c r="B47" s="16"/>
      <c r="C47" s="16"/>
      <c r="D47" s="16"/>
      <c r="E47" s="18"/>
      <c r="F47" s="18"/>
      <c r="G47" s="15" t="str">
        <f t="shared" si="0"/>
        <v/>
      </c>
      <c r="H47" s="16"/>
      <c r="I47" s="17" t="str">
        <f>IF(H47&lt;&gt;"",H47,IF(G47="","",ROUND(G47*IFERROR(INDEX(Reference!$B$44:$B$50,MATCH(C47,Reference!$A$44:$A$50,0)),0),0)))</f>
        <v/>
      </c>
      <c r="J47" s="16"/>
      <c r="K47" s="16"/>
      <c r="L47" s="17" t="str">
        <f t="shared" si="1"/>
        <v/>
      </c>
      <c r="M47" s="17" t="str">
        <f>IFERROR(INDEX(Roster!$D$5:$D$40,MATCH(B47,Roster!$A$5:$A$40,0)),"")</f>
        <v/>
      </c>
      <c r="N47" s="17" t="str">
        <f t="shared" si="2"/>
        <v/>
      </c>
      <c r="O47" s="17" t="str">
        <f>IF(OR(C47="Bullpen",C47="Game"),IFERROR(INDEX(Reference!$B$61:$B$62,MATCH(C47,Reference!$A$61:$A$62,0)),""),IF(D47="","",VLOOKUP(D47,Reference!$A$6:$B$11,2,TRUE())))</f>
        <v/>
      </c>
      <c r="P47" s="17" t="str">
        <f>IF(N47="","",VLOOKUP(MAX(N47,0),Reference!$A$17:$B$20,2,TRUE()))</f>
        <v/>
      </c>
      <c r="Q47" s="17" t="str">
        <f>IF(AND(OR(I47="",O47="",P47=""),OR(R47="",W47=""),OR(X47="",AC47="")),"",IF(OR(I47="",O47="",P47=""),0,I47*O47*P47)+IF(OR(R47="",W47=""),0,R47*IFERROR(INDEX(Reference!$B$61:$B$62,MATCH("Bullpen",Reference!$A$61:$A$62,0)),0)*W47)+IF(OR(X47="",AC47=""),0,X47*VLOOKUP(60,Reference!$A$6:$B$11,2,TRUE())*AC47))</f>
        <v/>
      </c>
      <c r="R47" s="16"/>
      <c r="S47" s="16"/>
      <c r="T47" s="16"/>
      <c r="U47" s="17" t="str">
        <f t="shared" si="3"/>
        <v/>
      </c>
      <c r="V47" s="17" t="str">
        <f t="shared" si="4"/>
        <v/>
      </c>
      <c r="W47" s="17" t="str">
        <f>IF(V47="","",VLOOKUP(MAX(V47,0),Reference!$A$17:$B$20,2,TRUE()))</f>
        <v/>
      </c>
      <c r="X47" s="16"/>
      <c r="Y47" s="16"/>
      <c r="Z47" s="16"/>
      <c r="AA47" s="17" t="str">
        <f t="shared" si="5"/>
        <v/>
      </c>
      <c r="AB47" s="17" t="str">
        <f t="shared" si="6"/>
        <v/>
      </c>
      <c r="AC47" s="17" t="str">
        <f>IF(AB47="","",VLOOKUP(MAX(AB47,0),Reference!$A$17:$B$20,2,TRUE()))</f>
        <v/>
      </c>
      <c r="AD47" s="16"/>
    </row>
    <row r="48" spans="1:30" x14ac:dyDescent="0.3">
      <c r="A48" s="19"/>
      <c r="B48" s="16"/>
      <c r="C48" s="16"/>
      <c r="D48" s="16"/>
      <c r="E48" s="18"/>
      <c r="F48" s="18"/>
      <c r="G48" s="15" t="str">
        <f t="shared" si="0"/>
        <v/>
      </c>
      <c r="H48" s="16"/>
      <c r="I48" s="17" t="str">
        <f>IF(H48&lt;&gt;"",H48,IF(G48="","",ROUND(G48*IFERROR(INDEX(Reference!$B$44:$B$50,MATCH(C48,Reference!$A$44:$A$50,0)),0),0)))</f>
        <v/>
      </c>
      <c r="J48" s="16"/>
      <c r="K48" s="16"/>
      <c r="L48" s="17" t="str">
        <f t="shared" si="1"/>
        <v/>
      </c>
      <c r="M48" s="17" t="str">
        <f>IFERROR(INDEX(Roster!$D$5:$D$40,MATCH(B48,Roster!$A$5:$A$40,0)),"")</f>
        <v/>
      </c>
      <c r="N48" s="17" t="str">
        <f t="shared" si="2"/>
        <v/>
      </c>
      <c r="O48" s="17" t="str">
        <f>IF(OR(C48="Bullpen",C48="Game"),IFERROR(INDEX(Reference!$B$61:$B$62,MATCH(C48,Reference!$A$61:$A$62,0)),""),IF(D48="","",VLOOKUP(D48,Reference!$A$6:$B$11,2,TRUE())))</f>
        <v/>
      </c>
      <c r="P48" s="17" t="str">
        <f>IF(N48="","",VLOOKUP(MAX(N48,0),Reference!$A$17:$B$20,2,TRUE()))</f>
        <v/>
      </c>
      <c r="Q48" s="17" t="str">
        <f>IF(AND(OR(I48="",O48="",P48=""),OR(R48="",W48=""),OR(X48="",AC48="")),"",IF(OR(I48="",O48="",P48=""),0,I48*O48*P48)+IF(OR(R48="",W48=""),0,R48*IFERROR(INDEX(Reference!$B$61:$B$62,MATCH("Bullpen",Reference!$A$61:$A$62,0)),0)*W48)+IF(OR(X48="",AC48=""),0,X48*VLOOKUP(60,Reference!$A$6:$B$11,2,TRUE())*AC48))</f>
        <v/>
      </c>
      <c r="R48" s="16"/>
      <c r="S48" s="16"/>
      <c r="T48" s="16"/>
      <c r="U48" s="17" t="str">
        <f t="shared" si="3"/>
        <v/>
      </c>
      <c r="V48" s="17" t="str">
        <f t="shared" si="4"/>
        <v/>
      </c>
      <c r="W48" s="17" t="str">
        <f>IF(V48="","",VLOOKUP(MAX(V48,0),Reference!$A$17:$B$20,2,TRUE()))</f>
        <v/>
      </c>
      <c r="X48" s="16"/>
      <c r="Y48" s="16"/>
      <c r="Z48" s="16"/>
      <c r="AA48" s="17" t="str">
        <f t="shared" si="5"/>
        <v/>
      </c>
      <c r="AB48" s="17" t="str">
        <f t="shared" si="6"/>
        <v/>
      </c>
      <c r="AC48" s="17" t="str">
        <f>IF(AB48="","",VLOOKUP(MAX(AB48,0),Reference!$A$17:$B$20,2,TRUE()))</f>
        <v/>
      </c>
      <c r="AD48" s="16"/>
    </row>
    <row r="49" spans="1:30" x14ac:dyDescent="0.3">
      <c r="A49" s="19"/>
      <c r="B49" s="16"/>
      <c r="C49" s="16"/>
      <c r="D49" s="16"/>
      <c r="E49" s="18"/>
      <c r="F49" s="18"/>
      <c r="G49" s="15" t="str">
        <f t="shared" si="0"/>
        <v/>
      </c>
      <c r="H49" s="16"/>
      <c r="I49" s="17" t="str">
        <f>IF(H49&lt;&gt;"",H49,IF(G49="","",ROUND(G49*IFERROR(INDEX(Reference!$B$44:$B$50,MATCH(C49,Reference!$A$44:$A$50,0)),0),0)))</f>
        <v/>
      </c>
      <c r="J49" s="16"/>
      <c r="K49" s="16"/>
      <c r="L49" s="17" t="str">
        <f t="shared" si="1"/>
        <v/>
      </c>
      <c r="M49" s="17" t="str">
        <f>IFERROR(INDEX(Roster!$D$5:$D$40,MATCH(B49,Roster!$A$5:$A$40,0)),"")</f>
        <v/>
      </c>
      <c r="N49" s="17" t="str">
        <f t="shared" si="2"/>
        <v/>
      </c>
      <c r="O49" s="17" t="str">
        <f>IF(OR(C49="Bullpen",C49="Game"),IFERROR(INDEX(Reference!$B$61:$B$62,MATCH(C49,Reference!$A$61:$A$62,0)),""),IF(D49="","",VLOOKUP(D49,Reference!$A$6:$B$11,2,TRUE())))</f>
        <v/>
      </c>
      <c r="P49" s="17" t="str">
        <f>IF(N49="","",VLOOKUP(MAX(N49,0),Reference!$A$17:$B$20,2,TRUE()))</f>
        <v/>
      </c>
      <c r="Q49" s="17" t="str">
        <f>IF(AND(OR(I49="",O49="",P49=""),OR(R49="",W49=""),OR(X49="",AC49="")),"",IF(OR(I49="",O49="",P49=""),0,I49*O49*P49)+IF(OR(R49="",W49=""),0,R49*IFERROR(INDEX(Reference!$B$61:$B$62,MATCH("Bullpen",Reference!$A$61:$A$62,0)),0)*W49)+IF(OR(X49="",AC49=""),0,X49*VLOOKUP(60,Reference!$A$6:$B$11,2,TRUE())*AC49))</f>
        <v/>
      </c>
      <c r="R49" s="16"/>
      <c r="S49" s="16"/>
      <c r="T49" s="16"/>
      <c r="U49" s="17" t="str">
        <f t="shared" si="3"/>
        <v/>
      </c>
      <c r="V49" s="17" t="str">
        <f t="shared" si="4"/>
        <v/>
      </c>
      <c r="W49" s="17" t="str">
        <f>IF(V49="","",VLOOKUP(MAX(V49,0),Reference!$A$17:$B$20,2,TRUE()))</f>
        <v/>
      </c>
      <c r="X49" s="16"/>
      <c r="Y49" s="16"/>
      <c r="Z49" s="16"/>
      <c r="AA49" s="17" t="str">
        <f t="shared" si="5"/>
        <v/>
      </c>
      <c r="AB49" s="17" t="str">
        <f t="shared" si="6"/>
        <v/>
      </c>
      <c r="AC49" s="17" t="str">
        <f>IF(AB49="","",VLOOKUP(MAX(AB49,0),Reference!$A$17:$B$20,2,TRUE()))</f>
        <v/>
      </c>
      <c r="AD49" s="16"/>
    </row>
    <row r="50" spans="1:30" x14ac:dyDescent="0.3">
      <c r="A50" s="19"/>
      <c r="B50" s="16"/>
      <c r="C50" s="16"/>
      <c r="D50" s="16"/>
      <c r="E50" s="18"/>
      <c r="F50" s="18"/>
      <c r="G50" s="15" t="str">
        <f t="shared" si="0"/>
        <v/>
      </c>
      <c r="H50" s="16"/>
      <c r="I50" s="17" t="str">
        <f>IF(H50&lt;&gt;"",H50,IF(G50="","",ROUND(G50*IFERROR(INDEX(Reference!$B$44:$B$50,MATCH(C50,Reference!$A$44:$A$50,0)),0),0)))</f>
        <v/>
      </c>
      <c r="J50" s="16"/>
      <c r="K50" s="16"/>
      <c r="L50" s="17" t="str">
        <f t="shared" si="1"/>
        <v/>
      </c>
      <c r="M50" s="17" t="str">
        <f>IFERROR(INDEX(Roster!$D$5:$D$40,MATCH(B50,Roster!$A$5:$A$40,0)),"")</f>
        <v/>
      </c>
      <c r="N50" s="17" t="str">
        <f t="shared" si="2"/>
        <v/>
      </c>
      <c r="O50" s="17" t="str">
        <f>IF(OR(C50="Bullpen",C50="Game"),IFERROR(INDEX(Reference!$B$61:$B$62,MATCH(C50,Reference!$A$61:$A$62,0)),""),IF(D50="","",VLOOKUP(D50,Reference!$A$6:$B$11,2,TRUE())))</f>
        <v/>
      </c>
      <c r="P50" s="17" t="str">
        <f>IF(N50="","",VLOOKUP(MAX(N50,0),Reference!$A$17:$B$20,2,TRUE()))</f>
        <v/>
      </c>
      <c r="Q50" s="17" t="str">
        <f>IF(AND(OR(I50="",O50="",P50=""),OR(R50="",W50=""),OR(X50="",AC50="")),"",IF(OR(I50="",O50="",P50=""),0,I50*O50*P50)+IF(OR(R50="",W50=""),0,R50*IFERROR(INDEX(Reference!$B$61:$B$62,MATCH("Bullpen",Reference!$A$61:$A$62,0)),0)*W50)+IF(OR(X50="",AC50=""),0,X50*VLOOKUP(60,Reference!$A$6:$B$11,2,TRUE())*AC50))</f>
        <v/>
      </c>
      <c r="R50" s="16"/>
      <c r="S50" s="16"/>
      <c r="T50" s="16"/>
      <c r="U50" s="17" t="str">
        <f t="shared" si="3"/>
        <v/>
      </c>
      <c r="V50" s="17" t="str">
        <f t="shared" si="4"/>
        <v/>
      </c>
      <c r="W50" s="17" t="str">
        <f>IF(V50="","",VLOOKUP(MAX(V50,0),Reference!$A$17:$B$20,2,TRUE()))</f>
        <v/>
      </c>
      <c r="X50" s="16"/>
      <c r="Y50" s="16"/>
      <c r="Z50" s="16"/>
      <c r="AA50" s="17" t="str">
        <f t="shared" si="5"/>
        <v/>
      </c>
      <c r="AB50" s="17" t="str">
        <f t="shared" si="6"/>
        <v/>
      </c>
      <c r="AC50" s="17" t="str">
        <f>IF(AB50="","",VLOOKUP(MAX(AB50,0),Reference!$A$17:$B$20,2,TRUE()))</f>
        <v/>
      </c>
      <c r="AD50" s="16"/>
    </row>
    <row r="51" spans="1:30" x14ac:dyDescent="0.3">
      <c r="A51" s="19"/>
      <c r="B51" s="16"/>
      <c r="C51" s="16"/>
      <c r="D51" s="16"/>
      <c r="E51" s="18"/>
      <c r="F51" s="18"/>
      <c r="G51" s="15" t="str">
        <f t="shared" si="0"/>
        <v/>
      </c>
      <c r="H51" s="16"/>
      <c r="I51" s="17" t="str">
        <f>IF(H51&lt;&gt;"",H51,IF(G51="","",ROUND(G51*IFERROR(INDEX(Reference!$B$44:$B$50,MATCH(C51,Reference!$A$44:$A$50,0)),0),0)))</f>
        <v/>
      </c>
      <c r="J51" s="16"/>
      <c r="K51" s="16"/>
      <c r="L51" s="17" t="str">
        <f t="shared" si="1"/>
        <v/>
      </c>
      <c r="M51" s="17" t="str">
        <f>IFERROR(INDEX(Roster!$D$5:$D$40,MATCH(B51,Roster!$A$5:$A$40,0)),"")</f>
        <v/>
      </c>
      <c r="N51" s="17" t="str">
        <f t="shared" si="2"/>
        <v/>
      </c>
      <c r="O51" s="17" t="str">
        <f>IF(OR(C51="Bullpen",C51="Game"),IFERROR(INDEX(Reference!$B$61:$B$62,MATCH(C51,Reference!$A$61:$A$62,0)),""),IF(D51="","",VLOOKUP(D51,Reference!$A$6:$B$11,2,TRUE())))</f>
        <v/>
      </c>
      <c r="P51" s="17" t="str">
        <f>IF(N51="","",VLOOKUP(MAX(N51,0),Reference!$A$17:$B$20,2,TRUE()))</f>
        <v/>
      </c>
      <c r="Q51" s="17" t="str">
        <f>IF(AND(OR(I51="",O51="",P51=""),OR(R51="",W51=""),OR(X51="",AC51="")),"",IF(OR(I51="",O51="",P51=""),0,I51*O51*P51)+IF(OR(R51="",W51=""),0,R51*IFERROR(INDEX(Reference!$B$61:$B$62,MATCH("Bullpen",Reference!$A$61:$A$62,0)),0)*W51)+IF(OR(X51="",AC51=""),0,X51*VLOOKUP(60,Reference!$A$6:$B$11,2,TRUE())*AC51))</f>
        <v/>
      </c>
      <c r="R51" s="16"/>
      <c r="S51" s="16"/>
      <c r="T51" s="16"/>
      <c r="U51" s="17" t="str">
        <f t="shared" si="3"/>
        <v/>
      </c>
      <c r="V51" s="17" t="str">
        <f t="shared" si="4"/>
        <v/>
      </c>
      <c r="W51" s="17" t="str">
        <f>IF(V51="","",VLOOKUP(MAX(V51,0),Reference!$A$17:$B$20,2,TRUE()))</f>
        <v/>
      </c>
      <c r="X51" s="16"/>
      <c r="Y51" s="16"/>
      <c r="Z51" s="16"/>
      <c r="AA51" s="17" t="str">
        <f t="shared" si="5"/>
        <v/>
      </c>
      <c r="AB51" s="17" t="str">
        <f t="shared" si="6"/>
        <v/>
      </c>
      <c r="AC51" s="17" t="str">
        <f>IF(AB51="","",VLOOKUP(MAX(AB51,0),Reference!$A$17:$B$20,2,TRUE()))</f>
        <v/>
      </c>
      <c r="AD51" s="16"/>
    </row>
    <row r="52" spans="1:30" x14ac:dyDescent="0.3">
      <c r="A52" s="19"/>
      <c r="B52" s="16"/>
      <c r="C52" s="16"/>
      <c r="D52" s="16"/>
      <c r="E52" s="18"/>
      <c r="F52" s="18"/>
      <c r="G52" s="15" t="str">
        <f t="shared" si="0"/>
        <v/>
      </c>
      <c r="H52" s="16"/>
      <c r="I52" s="17" t="str">
        <f>IF(H52&lt;&gt;"",H52,IF(G52="","",ROUND(G52*IFERROR(INDEX(Reference!$B$44:$B$50,MATCH(C52,Reference!$A$44:$A$50,0)),0),0)))</f>
        <v/>
      </c>
      <c r="J52" s="16"/>
      <c r="K52" s="16"/>
      <c r="L52" s="17" t="str">
        <f t="shared" si="1"/>
        <v/>
      </c>
      <c r="M52" s="17" t="str">
        <f>IFERROR(INDEX(Roster!$D$5:$D$40,MATCH(B52,Roster!$A$5:$A$40,0)),"")</f>
        <v/>
      </c>
      <c r="N52" s="17" t="str">
        <f t="shared" si="2"/>
        <v/>
      </c>
      <c r="O52" s="17" t="str">
        <f>IF(OR(C52="Bullpen",C52="Game"),IFERROR(INDEX(Reference!$B$61:$B$62,MATCH(C52,Reference!$A$61:$A$62,0)),""),IF(D52="","",VLOOKUP(D52,Reference!$A$6:$B$11,2,TRUE())))</f>
        <v/>
      </c>
      <c r="P52" s="17" t="str">
        <f>IF(N52="","",VLOOKUP(MAX(N52,0),Reference!$A$17:$B$20,2,TRUE()))</f>
        <v/>
      </c>
      <c r="Q52" s="17" t="str">
        <f>IF(AND(OR(I52="",O52="",P52=""),OR(R52="",W52=""),OR(X52="",AC52="")),"",IF(OR(I52="",O52="",P52=""),0,I52*O52*P52)+IF(OR(R52="",W52=""),0,R52*IFERROR(INDEX(Reference!$B$61:$B$62,MATCH("Bullpen",Reference!$A$61:$A$62,0)),0)*W52)+IF(OR(X52="",AC52=""),0,X52*VLOOKUP(60,Reference!$A$6:$B$11,2,TRUE())*AC52))</f>
        <v/>
      </c>
      <c r="R52" s="16"/>
      <c r="S52" s="16"/>
      <c r="T52" s="16"/>
      <c r="U52" s="17" t="str">
        <f t="shared" si="3"/>
        <v/>
      </c>
      <c r="V52" s="17" t="str">
        <f t="shared" si="4"/>
        <v/>
      </c>
      <c r="W52" s="17" t="str">
        <f>IF(V52="","",VLOOKUP(MAX(V52,0),Reference!$A$17:$B$20,2,TRUE()))</f>
        <v/>
      </c>
      <c r="X52" s="16"/>
      <c r="Y52" s="16"/>
      <c r="Z52" s="16"/>
      <c r="AA52" s="17" t="str">
        <f t="shared" si="5"/>
        <v/>
      </c>
      <c r="AB52" s="17" t="str">
        <f t="shared" si="6"/>
        <v/>
      </c>
      <c r="AC52" s="17" t="str">
        <f>IF(AB52="","",VLOOKUP(MAX(AB52,0),Reference!$A$17:$B$20,2,TRUE()))</f>
        <v/>
      </c>
      <c r="AD52" s="16"/>
    </row>
    <row r="53" spans="1:30" x14ac:dyDescent="0.3">
      <c r="A53" s="19"/>
      <c r="B53" s="16"/>
      <c r="C53" s="16"/>
      <c r="D53" s="16"/>
      <c r="E53" s="18"/>
      <c r="F53" s="18"/>
      <c r="G53" s="15" t="str">
        <f t="shared" si="0"/>
        <v/>
      </c>
      <c r="H53" s="16"/>
      <c r="I53" s="17" t="str">
        <f>IF(H53&lt;&gt;"",H53,IF(G53="","",ROUND(G53*IFERROR(INDEX(Reference!$B$44:$B$50,MATCH(C53,Reference!$A$44:$A$50,0)),0),0)))</f>
        <v/>
      </c>
      <c r="J53" s="16"/>
      <c r="K53" s="16"/>
      <c r="L53" s="17" t="str">
        <f t="shared" si="1"/>
        <v/>
      </c>
      <c r="M53" s="17" t="str">
        <f>IFERROR(INDEX(Roster!$D$5:$D$40,MATCH(B53,Roster!$A$5:$A$40,0)),"")</f>
        <v/>
      </c>
      <c r="N53" s="17" t="str">
        <f t="shared" si="2"/>
        <v/>
      </c>
      <c r="O53" s="17" t="str">
        <f>IF(OR(C53="Bullpen",C53="Game"),IFERROR(INDEX(Reference!$B$61:$B$62,MATCH(C53,Reference!$A$61:$A$62,0)),""),IF(D53="","",VLOOKUP(D53,Reference!$A$6:$B$11,2,TRUE())))</f>
        <v/>
      </c>
      <c r="P53" s="17" t="str">
        <f>IF(N53="","",VLOOKUP(MAX(N53,0),Reference!$A$17:$B$20,2,TRUE()))</f>
        <v/>
      </c>
      <c r="Q53" s="17" t="str">
        <f>IF(AND(OR(I53="",O53="",P53=""),OR(R53="",W53=""),OR(X53="",AC53="")),"",IF(OR(I53="",O53="",P53=""),0,I53*O53*P53)+IF(OR(R53="",W53=""),0,R53*IFERROR(INDEX(Reference!$B$61:$B$62,MATCH("Bullpen",Reference!$A$61:$A$62,0)),0)*W53)+IF(OR(X53="",AC53=""),0,X53*VLOOKUP(60,Reference!$A$6:$B$11,2,TRUE())*AC53))</f>
        <v/>
      </c>
      <c r="R53" s="16"/>
      <c r="S53" s="16"/>
      <c r="T53" s="16"/>
      <c r="U53" s="17" t="str">
        <f t="shared" si="3"/>
        <v/>
      </c>
      <c r="V53" s="17" t="str">
        <f t="shared" si="4"/>
        <v/>
      </c>
      <c r="W53" s="17" t="str">
        <f>IF(V53="","",VLOOKUP(MAX(V53,0),Reference!$A$17:$B$20,2,TRUE()))</f>
        <v/>
      </c>
      <c r="X53" s="16"/>
      <c r="Y53" s="16"/>
      <c r="Z53" s="16"/>
      <c r="AA53" s="17" t="str">
        <f t="shared" si="5"/>
        <v/>
      </c>
      <c r="AB53" s="17" t="str">
        <f t="shared" si="6"/>
        <v/>
      </c>
      <c r="AC53" s="17" t="str">
        <f>IF(AB53="","",VLOOKUP(MAX(AB53,0),Reference!$A$17:$B$20,2,TRUE()))</f>
        <v/>
      </c>
      <c r="AD53" s="16"/>
    </row>
    <row r="54" spans="1:30" x14ac:dyDescent="0.3">
      <c r="A54" s="19"/>
      <c r="B54" s="16"/>
      <c r="C54" s="16"/>
      <c r="D54" s="16"/>
      <c r="E54" s="18"/>
      <c r="F54" s="18"/>
      <c r="G54" s="15" t="str">
        <f t="shared" si="0"/>
        <v/>
      </c>
      <c r="H54" s="16"/>
      <c r="I54" s="17" t="str">
        <f>IF(H54&lt;&gt;"",H54,IF(G54="","",ROUND(G54*IFERROR(INDEX(Reference!$B$44:$B$50,MATCH(C54,Reference!$A$44:$A$50,0)),0),0)))</f>
        <v/>
      </c>
      <c r="J54" s="16"/>
      <c r="K54" s="16"/>
      <c r="L54" s="17" t="str">
        <f t="shared" si="1"/>
        <v/>
      </c>
      <c r="M54" s="17" t="str">
        <f>IFERROR(INDEX(Roster!$D$5:$D$40,MATCH(B54,Roster!$A$5:$A$40,0)),"")</f>
        <v/>
      </c>
      <c r="N54" s="17" t="str">
        <f t="shared" si="2"/>
        <v/>
      </c>
      <c r="O54" s="17" t="str">
        <f>IF(OR(C54="Bullpen",C54="Game"),IFERROR(INDEX(Reference!$B$61:$B$62,MATCH(C54,Reference!$A$61:$A$62,0)),""),IF(D54="","",VLOOKUP(D54,Reference!$A$6:$B$11,2,TRUE())))</f>
        <v/>
      </c>
      <c r="P54" s="17" t="str">
        <f>IF(N54="","",VLOOKUP(MAX(N54,0),Reference!$A$17:$B$20,2,TRUE()))</f>
        <v/>
      </c>
      <c r="Q54" s="17" t="str">
        <f>IF(AND(OR(I54="",O54="",P54=""),OR(R54="",W54=""),OR(X54="",AC54="")),"",IF(OR(I54="",O54="",P54=""),0,I54*O54*P54)+IF(OR(R54="",W54=""),0,R54*IFERROR(INDEX(Reference!$B$61:$B$62,MATCH("Bullpen",Reference!$A$61:$A$62,0)),0)*W54)+IF(OR(X54="",AC54=""),0,X54*VLOOKUP(60,Reference!$A$6:$B$11,2,TRUE())*AC54))</f>
        <v/>
      </c>
      <c r="R54" s="16"/>
      <c r="S54" s="16"/>
      <c r="T54" s="16"/>
      <c r="U54" s="17" t="str">
        <f t="shared" si="3"/>
        <v/>
      </c>
      <c r="V54" s="17" t="str">
        <f t="shared" si="4"/>
        <v/>
      </c>
      <c r="W54" s="17" t="str">
        <f>IF(V54="","",VLOOKUP(MAX(V54,0),Reference!$A$17:$B$20,2,TRUE()))</f>
        <v/>
      </c>
      <c r="X54" s="16"/>
      <c r="Y54" s="16"/>
      <c r="Z54" s="16"/>
      <c r="AA54" s="17" t="str">
        <f t="shared" si="5"/>
        <v/>
      </c>
      <c r="AB54" s="17" t="str">
        <f t="shared" si="6"/>
        <v/>
      </c>
      <c r="AC54" s="17" t="str">
        <f>IF(AB54="","",VLOOKUP(MAX(AB54,0),Reference!$A$17:$B$20,2,TRUE()))</f>
        <v/>
      </c>
      <c r="AD54" s="16"/>
    </row>
    <row r="55" spans="1:30" x14ac:dyDescent="0.3">
      <c r="A55" s="19"/>
      <c r="B55" s="16"/>
      <c r="C55" s="16"/>
      <c r="D55" s="16"/>
      <c r="E55" s="18"/>
      <c r="F55" s="18"/>
      <c r="G55" s="15" t="str">
        <f t="shared" si="0"/>
        <v/>
      </c>
      <c r="H55" s="16"/>
      <c r="I55" s="17" t="str">
        <f>IF(H55&lt;&gt;"",H55,IF(G55="","",ROUND(G55*IFERROR(INDEX(Reference!$B$44:$B$50,MATCH(C55,Reference!$A$44:$A$50,0)),0),0)))</f>
        <v/>
      </c>
      <c r="J55" s="16"/>
      <c r="K55" s="16"/>
      <c r="L55" s="17" t="str">
        <f t="shared" si="1"/>
        <v/>
      </c>
      <c r="M55" s="17" t="str">
        <f>IFERROR(INDEX(Roster!$D$5:$D$40,MATCH(B55,Roster!$A$5:$A$40,0)),"")</f>
        <v/>
      </c>
      <c r="N55" s="17" t="str">
        <f t="shared" si="2"/>
        <v/>
      </c>
      <c r="O55" s="17" t="str">
        <f>IF(OR(C55="Bullpen",C55="Game"),IFERROR(INDEX(Reference!$B$61:$B$62,MATCH(C55,Reference!$A$61:$A$62,0)),""),IF(D55="","",VLOOKUP(D55,Reference!$A$6:$B$11,2,TRUE())))</f>
        <v/>
      </c>
      <c r="P55" s="17" t="str">
        <f>IF(N55="","",VLOOKUP(MAX(N55,0),Reference!$A$17:$B$20,2,TRUE()))</f>
        <v/>
      </c>
      <c r="Q55" s="17" t="str">
        <f>IF(AND(OR(I55="",O55="",P55=""),OR(R55="",W55=""),OR(X55="",AC55="")),"",IF(OR(I55="",O55="",P55=""),0,I55*O55*P55)+IF(OR(R55="",W55=""),0,R55*IFERROR(INDEX(Reference!$B$61:$B$62,MATCH("Bullpen",Reference!$A$61:$A$62,0)),0)*W55)+IF(OR(X55="",AC55=""),0,X55*VLOOKUP(60,Reference!$A$6:$B$11,2,TRUE())*AC55))</f>
        <v/>
      </c>
      <c r="R55" s="16"/>
      <c r="S55" s="16"/>
      <c r="T55" s="16"/>
      <c r="U55" s="17" t="str">
        <f t="shared" si="3"/>
        <v/>
      </c>
      <c r="V55" s="17" t="str">
        <f t="shared" si="4"/>
        <v/>
      </c>
      <c r="W55" s="17" t="str">
        <f>IF(V55="","",VLOOKUP(MAX(V55,0),Reference!$A$17:$B$20,2,TRUE()))</f>
        <v/>
      </c>
      <c r="X55" s="16"/>
      <c r="Y55" s="16"/>
      <c r="Z55" s="16"/>
      <c r="AA55" s="17" t="str">
        <f t="shared" si="5"/>
        <v/>
      </c>
      <c r="AB55" s="17" t="str">
        <f t="shared" si="6"/>
        <v/>
      </c>
      <c r="AC55" s="17" t="str">
        <f>IF(AB55="","",VLOOKUP(MAX(AB55,0),Reference!$A$17:$B$20,2,TRUE()))</f>
        <v/>
      </c>
      <c r="AD55" s="16"/>
    </row>
    <row r="56" spans="1:30" x14ac:dyDescent="0.3">
      <c r="A56" s="19"/>
      <c r="B56" s="16"/>
      <c r="C56" s="16"/>
      <c r="D56" s="16"/>
      <c r="E56" s="18"/>
      <c r="F56" s="18"/>
      <c r="G56" s="15" t="str">
        <f t="shared" si="0"/>
        <v/>
      </c>
      <c r="H56" s="16"/>
      <c r="I56" s="17" t="str">
        <f>IF(H56&lt;&gt;"",H56,IF(G56="","",ROUND(G56*IFERROR(INDEX(Reference!$B$44:$B$50,MATCH(C56,Reference!$A$44:$A$50,0)),0),0)))</f>
        <v/>
      </c>
      <c r="J56" s="16"/>
      <c r="K56" s="16"/>
      <c r="L56" s="17" t="str">
        <f t="shared" si="1"/>
        <v/>
      </c>
      <c r="M56" s="17" t="str">
        <f>IFERROR(INDEX(Roster!$D$5:$D$40,MATCH(B56,Roster!$A$5:$A$40,0)),"")</f>
        <v/>
      </c>
      <c r="N56" s="17" t="str">
        <f t="shared" si="2"/>
        <v/>
      </c>
      <c r="O56" s="17" t="str">
        <f>IF(OR(C56="Bullpen",C56="Game"),IFERROR(INDEX(Reference!$B$61:$B$62,MATCH(C56,Reference!$A$61:$A$62,0)),""),IF(D56="","",VLOOKUP(D56,Reference!$A$6:$B$11,2,TRUE())))</f>
        <v/>
      </c>
      <c r="P56" s="17" t="str">
        <f>IF(N56="","",VLOOKUP(MAX(N56,0),Reference!$A$17:$B$20,2,TRUE()))</f>
        <v/>
      </c>
      <c r="Q56" s="17" t="str">
        <f>IF(AND(OR(I56="",O56="",P56=""),OR(R56="",W56=""),OR(X56="",AC56="")),"",IF(OR(I56="",O56="",P56=""),0,I56*O56*P56)+IF(OR(R56="",W56=""),0,R56*IFERROR(INDEX(Reference!$B$61:$B$62,MATCH("Bullpen",Reference!$A$61:$A$62,0)),0)*W56)+IF(OR(X56="",AC56=""),0,X56*VLOOKUP(60,Reference!$A$6:$B$11,2,TRUE())*AC56))</f>
        <v/>
      </c>
      <c r="R56" s="16"/>
      <c r="S56" s="16"/>
      <c r="T56" s="16"/>
      <c r="U56" s="17" t="str">
        <f t="shared" si="3"/>
        <v/>
      </c>
      <c r="V56" s="17" t="str">
        <f t="shared" si="4"/>
        <v/>
      </c>
      <c r="W56" s="17" t="str">
        <f>IF(V56="","",VLOOKUP(MAX(V56,0),Reference!$A$17:$B$20,2,TRUE()))</f>
        <v/>
      </c>
      <c r="X56" s="16"/>
      <c r="Y56" s="16"/>
      <c r="Z56" s="16"/>
      <c r="AA56" s="17" t="str">
        <f t="shared" si="5"/>
        <v/>
      </c>
      <c r="AB56" s="17" t="str">
        <f t="shared" si="6"/>
        <v/>
      </c>
      <c r="AC56" s="17" t="str">
        <f>IF(AB56="","",VLOOKUP(MAX(AB56,0),Reference!$A$17:$B$20,2,TRUE()))</f>
        <v/>
      </c>
      <c r="AD56" s="16"/>
    </row>
    <row r="57" spans="1:30" x14ac:dyDescent="0.3">
      <c r="A57" s="19"/>
      <c r="B57" s="16"/>
      <c r="C57" s="16"/>
      <c r="D57" s="16"/>
      <c r="E57" s="18"/>
      <c r="F57" s="18"/>
      <c r="G57" s="15" t="str">
        <f t="shared" si="0"/>
        <v/>
      </c>
      <c r="H57" s="16"/>
      <c r="I57" s="17" t="str">
        <f>IF(H57&lt;&gt;"",H57,IF(G57="","",ROUND(G57*IFERROR(INDEX(Reference!$B$44:$B$50,MATCH(C57,Reference!$A$44:$A$50,0)),0),0)))</f>
        <v/>
      </c>
      <c r="J57" s="16"/>
      <c r="K57" s="16"/>
      <c r="L57" s="17" t="str">
        <f t="shared" si="1"/>
        <v/>
      </c>
      <c r="M57" s="17" t="str">
        <f>IFERROR(INDEX(Roster!$D$5:$D$40,MATCH(B57,Roster!$A$5:$A$40,0)),"")</f>
        <v/>
      </c>
      <c r="N57" s="17" t="str">
        <f t="shared" si="2"/>
        <v/>
      </c>
      <c r="O57" s="17" t="str">
        <f>IF(OR(C57="Bullpen",C57="Game"),IFERROR(INDEX(Reference!$B$61:$B$62,MATCH(C57,Reference!$A$61:$A$62,0)),""),IF(D57="","",VLOOKUP(D57,Reference!$A$6:$B$11,2,TRUE())))</f>
        <v/>
      </c>
      <c r="P57" s="17" t="str">
        <f>IF(N57="","",VLOOKUP(MAX(N57,0),Reference!$A$17:$B$20,2,TRUE()))</f>
        <v/>
      </c>
      <c r="Q57" s="17" t="str">
        <f>IF(AND(OR(I57="",O57="",P57=""),OR(R57="",W57=""),OR(X57="",AC57="")),"",IF(OR(I57="",O57="",P57=""),0,I57*O57*P57)+IF(OR(R57="",W57=""),0,R57*IFERROR(INDEX(Reference!$B$61:$B$62,MATCH("Bullpen",Reference!$A$61:$A$62,0)),0)*W57)+IF(OR(X57="",AC57=""),0,X57*VLOOKUP(60,Reference!$A$6:$B$11,2,TRUE())*AC57))</f>
        <v/>
      </c>
      <c r="R57" s="16"/>
      <c r="S57" s="16"/>
      <c r="T57" s="16"/>
      <c r="U57" s="17" t="str">
        <f t="shared" si="3"/>
        <v/>
      </c>
      <c r="V57" s="17" t="str">
        <f t="shared" si="4"/>
        <v/>
      </c>
      <c r="W57" s="17" t="str">
        <f>IF(V57="","",VLOOKUP(MAX(V57,0),Reference!$A$17:$B$20,2,TRUE()))</f>
        <v/>
      </c>
      <c r="X57" s="16"/>
      <c r="Y57" s="16"/>
      <c r="Z57" s="16"/>
      <c r="AA57" s="17" t="str">
        <f t="shared" si="5"/>
        <v/>
      </c>
      <c r="AB57" s="17" t="str">
        <f t="shared" si="6"/>
        <v/>
      </c>
      <c r="AC57" s="17" t="str">
        <f>IF(AB57="","",VLOOKUP(MAX(AB57,0),Reference!$A$17:$B$20,2,TRUE()))</f>
        <v/>
      </c>
      <c r="AD57" s="16"/>
    </row>
    <row r="58" spans="1:30" x14ac:dyDescent="0.3">
      <c r="A58" s="19"/>
      <c r="B58" s="16"/>
      <c r="C58" s="16"/>
      <c r="D58" s="16"/>
      <c r="E58" s="18"/>
      <c r="F58" s="18"/>
      <c r="G58" s="15" t="str">
        <f t="shared" si="0"/>
        <v/>
      </c>
      <c r="H58" s="16"/>
      <c r="I58" s="17" t="str">
        <f>IF(H58&lt;&gt;"",H58,IF(G58="","",ROUND(G58*IFERROR(INDEX(Reference!$B$44:$B$50,MATCH(C58,Reference!$A$44:$A$50,0)),0),0)))</f>
        <v/>
      </c>
      <c r="J58" s="16"/>
      <c r="K58" s="16"/>
      <c r="L58" s="17" t="str">
        <f t="shared" si="1"/>
        <v/>
      </c>
      <c r="M58" s="17" t="str">
        <f>IFERROR(INDEX(Roster!$D$5:$D$40,MATCH(B58,Roster!$A$5:$A$40,0)),"")</f>
        <v/>
      </c>
      <c r="N58" s="17" t="str">
        <f t="shared" si="2"/>
        <v/>
      </c>
      <c r="O58" s="17" t="str">
        <f>IF(OR(C58="Bullpen",C58="Game"),IFERROR(INDEX(Reference!$B$61:$B$62,MATCH(C58,Reference!$A$61:$A$62,0)),""),IF(D58="","",VLOOKUP(D58,Reference!$A$6:$B$11,2,TRUE())))</f>
        <v/>
      </c>
      <c r="P58" s="17" t="str">
        <f>IF(N58="","",VLOOKUP(MAX(N58,0),Reference!$A$17:$B$20,2,TRUE()))</f>
        <v/>
      </c>
      <c r="Q58" s="17" t="str">
        <f>IF(AND(OR(I58="",O58="",P58=""),OR(R58="",W58=""),OR(X58="",AC58="")),"",IF(OR(I58="",O58="",P58=""),0,I58*O58*P58)+IF(OR(R58="",W58=""),0,R58*IFERROR(INDEX(Reference!$B$61:$B$62,MATCH("Bullpen",Reference!$A$61:$A$62,0)),0)*W58)+IF(OR(X58="",AC58=""),0,X58*VLOOKUP(60,Reference!$A$6:$B$11,2,TRUE())*AC58))</f>
        <v/>
      </c>
      <c r="R58" s="16"/>
      <c r="S58" s="16"/>
      <c r="T58" s="16"/>
      <c r="U58" s="17" t="str">
        <f t="shared" si="3"/>
        <v/>
      </c>
      <c r="V58" s="17" t="str">
        <f t="shared" si="4"/>
        <v/>
      </c>
      <c r="W58" s="17" t="str">
        <f>IF(V58="","",VLOOKUP(MAX(V58,0),Reference!$A$17:$B$20,2,TRUE()))</f>
        <v/>
      </c>
      <c r="X58" s="16"/>
      <c r="Y58" s="16"/>
      <c r="Z58" s="16"/>
      <c r="AA58" s="17" t="str">
        <f t="shared" si="5"/>
        <v/>
      </c>
      <c r="AB58" s="17" t="str">
        <f t="shared" si="6"/>
        <v/>
      </c>
      <c r="AC58" s="17" t="str">
        <f>IF(AB58="","",VLOOKUP(MAX(AB58,0),Reference!$A$17:$B$20,2,TRUE()))</f>
        <v/>
      </c>
      <c r="AD58" s="16"/>
    </row>
    <row r="59" spans="1:30" x14ac:dyDescent="0.3">
      <c r="A59" s="19"/>
      <c r="B59" s="16"/>
      <c r="C59" s="16"/>
      <c r="D59" s="16"/>
      <c r="E59" s="18"/>
      <c r="F59" s="18"/>
      <c r="G59" s="15" t="str">
        <f t="shared" si="0"/>
        <v/>
      </c>
      <c r="H59" s="16"/>
      <c r="I59" s="17" t="str">
        <f>IF(H59&lt;&gt;"",H59,IF(G59="","",ROUND(G59*IFERROR(INDEX(Reference!$B$44:$B$50,MATCH(C59,Reference!$A$44:$A$50,0)),0),0)))</f>
        <v/>
      </c>
      <c r="J59" s="16"/>
      <c r="K59" s="16"/>
      <c r="L59" s="17" t="str">
        <f t="shared" si="1"/>
        <v/>
      </c>
      <c r="M59" s="17" t="str">
        <f>IFERROR(INDEX(Roster!$D$5:$D$40,MATCH(B59,Roster!$A$5:$A$40,0)),"")</f>
        <v/>
      </c>
      <c r="N59" s="17" t="str">
        <f t="shared" si="2"/>
        <v/>
      </c>
      <c r="O59" s="17" t="str">
        <f>IF(OR(C59="Bullpen",C59="Game"),IFERROR(INDEX(Reference!$B$61:$B$62,MATCH(C59,Reference!$A$61:$A$62,0)),""),IF(D59="","",VLOOKUP(D59,Reference!$A$6:$B$11,2,TRUE())))</f>
        <v/>
      </c>
      <c r="P59" s="17" t="str">
        <f>IF(N59="","",VLOOKUP(MAX(N59,0),Reference!$A$17:$B$20,2,TRUE()))</f>
        <v/>
      </c>
      <c r="Q59" s="17" t="str">
        <f>IF(AND(OR(I59="",O59="",P59=""),OR(R59="",W59=""),OR(X59="",AC59="")),"",IF(OR(I59="",O59="",P59=""),0,I59*O59*P59)+IF(OR(R59="",W59=""),0,R59*IFERROR(INDEX(Reference!$B$61:$B$62,MATCH("Bullpen",Reference!$A$61:$A$62,0)),0)*W59)+IF(OR(X59="",AC59=""),0,X59*VLOOKUP(60,Reference!$A$6:$B$11,2,TRUE())*AC59))</f>
        <v/>
      </c>
      <c r="R59" s="16"/>
      <c r="S59" s="16"/>
      <c r="T59" s="16"/>
      <c r="U59" s="17" t="str">
        <f t="shared" si="3"/>
        <v/>
      </c>
      <c r="V59" s="17" t="str">
        <f t="shared" si="4"/>
        <v/>
      </c>
      <c r="W59" s="17" t="str">
        <f>IF(V59="","",VLOOKUP(MAX(V59,0),Reference!$A$17:$B$20,2,TRUE()))</f>
        <v/>
      </c>
      <c r="X59" s="16"/>
      <c r="Y59" s="16"/>
      <c r="Z59" s="16"/>
      <c r="AA59" s="17" t="str">
        <f t="shared" si="5"/>
        <v/>
      </c>
      <c r="AB59" s="17" t="str">
        <f t="shared" si="6"/>
        <v/>
      </c>
      <c r="AC59" s="17" t="str">
        <f>IF(AB59="","",VLOOKUP(MAX(AB59,0),Reference!$A$17:$B$20,2,TRUE()))</f>
        <v/>
      </c>
      <c r="AD59" s="16"/>
    </row>
    <row r="60" spans="1:30" x14ac:dyDescent="0.3">
      <c r="A60" s="19"/>
      <c r="B60" s="16"/>
      <c r="C60" s="16"/>
      <c r="D60" s="16"/>
      <c r="E60" s="18"/>
      <c r="F60" s="18"/>
      <c r="G60" s="15" t="str">
        <f t="shared" si="0"/>
        <v/>
      </c>
      <c r="H60" s="16"/>
      <c r="I60" s="17" t="str">
        <f>IF(H60&lt;&gt;"",H60,IF(G60="","",ROUND(G60*IFERROR(INDEX(Reference!$B$44:$B$50,MATCH(C60,Reference!$A$44:$A$50,0)),0),0)))</f>
        <v/>
      </c>
      <c r="J60" s="16"/>
      <c r="K60" s="16"/>
      <c r="L60" s="17" t="str">
        <f t="shared" si="1"/>
        <v/>
      </c>
      <c r="M60" s="17" t="str">
        <f>IFERROR(INDEX(Roster!$D$5:$D$40,MATCH(B60,Roster!$A$5:$A$40,0)),"")</f>
        <v/>
      </c>
      <c r="N60" s="17" t="str">
        <f t="shared" si="2"/>
        <v/>
      </c>
      <c r="O60" s="17" t="str">
        <f>IF(OR(C60="Bullpen",C60="Game"),IFERROR(INDEX(Reference!$B$61:$B$62,MATCH(C60,Reference!$A$61:$A$62,0)),""),IF(D60="","",VLOOKUP(D60,Reference!$A$6:$B$11,2,TRUE())))</f>
        <v/>
      </c>
      <c r="P60" s="17" t="str">
        <f>IF(N60="","",VLOOKUP(MAX(N60,0),Reference!$A$17:$B$20,2,TRUE()))</f>
        <v/>
      </c>
      <c r="Q60" s="17" t="str">
        <f>IF(AND(OR(I60="",O60="",P60=""),OR(R60="",W60=""),OR(X60="",AC60="")),"",IF(OR(I60="",O60="",P60=""),0,I60*O60*P60)+IF(OR(R60="",W60=""),0,R60*IFERROR(INDEX(Reference!$B$61:$B$62,MATCH("Bullpen",Reference!$A$61:$A$62,0)),0)*W60)+IF(OR(X60="",AC60=""),0,X60*VLOOKUP(60,Reference!$A$6:$B$11,2,TRUE())*AC60))</f>
        <v/>
      </c>
      <c r="R60" s="16"/>
      <c r="S60" s="16"/>
      <c r="T60" s="16"/>
      <c r="U60" s="17" t="str">
        <f t="shared" si="3"/>
        <v/>
      </c>
      <c r="V60" s="17" t="str">
        <f t="shared" si="4"/>
        <v/>
      </c>
      <c r="W60" s="17" t="str">
        <f>IF(V60="","",VLOOKUP(MAX(V60,0),Reference!$A$17:$B$20,2,TRUE()))</f>
        <v/>
      </c>
      <c r="X60" s="16"/>
      <c r="Y60" s="16"/>
      <c r="Z60" s="16"/>
      <c r="AA60" s="17" t="str">
        <f t="shared" si="5"/>
        <v/>
      </c>
      <c r="AB60" s="17" t="str">
        <f t="shared" si="6"/>
        <v/>
      </c>
      <c r="AC60" s="17" t="str">
        <f>IF(AB60="","",VLOOKUP(MAX(AB60,0),Reference!$A$17:$B$20,2,TRUE()))</f>
        <v/>
      </c>
      <c r="AD60" s="16"/>
    </row>
    <row r="61" spans="1:30" x14ac:dyDescent="0.3">
      <c r="A61" s="19"/>
      <c r="B61" s="16"/>
      <c r="C61" s="16"/>
      <c r="D61" s="16"/>
      <c r="E61" s="18"/>
      <c r="F61" s="18"/>
      <c r="G61" s="15" t="str">
        <f t="shared" si="0"/>
        <v/>
      </c>
      <c r="H61" s="16"/>
      <c r="I61" s="17" t="str">
        <f>IF(H61&lt;&gt;"",H61,IF(G61="","",ROUND(G61*IFERROR(INDEX(Reference!$B$44:$B$50,MATCH(C61,Reference!$A$44:$A$50,0)),0),0)))</f>
        <v/>
      </c>
      <c r="J61" s="16"/>
      <c r="K61" s="16"/>
      <c r="L61" s="17" t="str">
        <f t="shared" si="1"/>
        <v/>
      </c>
      <c r="M61" s="17" t="str">
        <f>IFERROR(INDEX(Roster!$D$5:$D$40,MATCH(B61,Roster!$A$5:$A$40,0)),"")</f>
        <v/>
      </c>
      <c r="N61" s="17" t="str">
        <f t="shared" si="2"/>
        <v/>
      </c>
      <c r="O61" s="17" t="str">
        <f>IF(OR(C61="Bullpen",C61="Game"),IFERROR(INDEX(Reference!$B$61:$B$62,MATCH(C61,Reference!$A$61:$A$62,0)),""),IF(D61="","",VLOOKUP(D61,Reference!$A$6:$B$11,2,TRUE())))</f>
        <v/>
      </c>
      <c r="P61" s="17" t="str">
        <f>IF(N61="","",VLOOKUP(MAX(N61,0),Reference!$A$17:$B$20,2,TRUE()))</f>
        <v/>
      </c>
      <c r="Q61" s="17" t="str">
        <f>IF(AND(OR(I61="",O61="",P61=""),OR(R61="",W61=""),OR(X61="",AC61="")),"",IF(OR(I61="",O61="",P61=""),0,I61*O61*P61)+IF(OR(R61="",W61=""),0,R61*IFERROR(INDEX(Reference!$B$61:$B$62,MATCH("Bullpen",Reference!$A$61:$A$62,0)),0)*W61)+IF(OR(X61="",AC61=""),0,X61*VLOOKUP(60,Reference!$A$6:$B$11,2,TRUE())*AC61))</f>
        <v/>
      </c>
      <c r="R61" s="16"/>
      <c r="S61" s="16"/>
      <c r="T61" s="16"/>
      <c r="U61" s="17" t="str">
        <f t="shared" si="3"/>
        <v/>
      </c>
      <c r="V61" s="17" t="str">
        <f t="shared" si="4"/>
        <v/>
      </c>
      <c r="W61" s="17" t="str">
        <f>IF(V61="","",VLOOKUP(MAX(V61,0),Reference!$A$17:$B$20,2,TRUE()))</f>
        <v/>
      </c>
      <c r="X61" s="16"/>
      <c r="Y61" s="16"/>
      <c r="Z61" s="16"/>
      <c r="AA61" s="17" t="str">
        <f t="shared" si="5"/>
        <v/>
      </c>
      <c r="AB61" s="17" t="str">
        <f t="shared" si="6"/>
        <v/>
      </c>
      <c r="AC61" s="17" t="str">
        <f>IF(AB61="","",VLOOKUP(MAX(AB61,0),Reference!$A$17:$B$20,2,TRUE()))</f>
        <v/>
      </c>
      <c r="AD61" s="16"/>
    </row>
    <row r="62" spans="1:30" x14ac:dyDescent="0.3">
      <c r="A62" s="19"/>
      <c r="B62" s="16"/>
      <c r="C62" s="16"/>
      <c r="D62" s="16"/>
      <c r="E62" s="18"/>
      <c r="F62" s="18"/>
      <c r="G62" s="15" t="str">
        <f t="shared" si="0"/>
        <v/>
      </c>
      <c r="H62" s="16"/>
      <c r="I62" s="17" t="str">
        <f>IF(H62&lt;&gt;"",H62,IF(G62="","",ROUND(G62*IFERROR(INDEX(Reference!$B$44:$B$50,MATCH(C62,Reference!$A$44:$A$50,0)),0),0)))</f>
        <v/>
      </c>
      <c r="J62" s="16"/>
      <c r="K62" s="16"/>
      <c r="L62" s="17" t="str">
        <f t="shared" si="1"/>
        <v/>
      </c>
      <c r="M62" s="17" t="str">
        <f>IFERROR(INDEX(Roster!$D$5:$D$40,MATCH(B62,Roster!$A$5:$A$40,0)),"")</f>
        <v/>
      </c>
      <c r="N62" s="17" t="str">
        <f t="shared" si="2"/>
        <v/>
      </c>
      <c r="O62" s="17" t="str">
        <f>IF(OR(C62="Bullpen",C62="Game"),IFERROR(INDEX(Reference!$B$61:$B$62,MATCH(C62,Reference!$A$61:$A$62,0)),""),IF(D62="","",VLOOKUP(D62,Reference!$A$6:$B$11,2,TRUE())))</f>
        <v/>
      </c>
      <c r="P62" s="17" t="str">
        <f>IF(N62="","",VLOOKUP(MAX(N62,0),Reference!$A$17:$B$20,2,TRUE()))</f>
        <v/>
      </c>
      <c r="Q62" s="17" t="str">
        <f>IF(AND(OR(I62="",O62="",P62=""),OR(R62="",W62=""),OR(X62="",AC62="")),"",IF(OR(I62="",O62="",P62=""),0,I62*O62*P62)+IF(OR(R62="",W62=""),0,R62*IFERROR(INDEX(Reference!$B$61:$B$62,MATCH("Bullpen",Reference!$A$61:$A$62,0)),0)*W62)+IF(OR(X62="",AC62=""),0,X62*VLOOKUP(60,Reference!$A$6:$B$11,2,TRUE())*AC62))</f>
        <v/>
      </c>
      <c r="R62" s="16"/>
      <c r="S62" s="16"/>
      <c r="T62" s="16"/>
      <c r="U62" s="17" t="str">
        <f t="shared" si="3"/>
        <v/>
      </c>
      <c r="V62" s="17" t="str">
        <f t="shared" si="4"/>
        <v/>
      </c>
      <c r="W62" s="17" t="str">
        <f>IF(V62="","",VLOOKUP(MAX(V62,0),Reference!$A$17:$B$20,2,TRUE()))</f>
        <v/>
      </c>
      <c r="X62" s="16"/>
      <c r="Y62" s="16"/>
      <c r="Z62" s="16"/>
      <c r="AA62" s="17" t="str">
        <f t="shared" si="5"/>
        <v/>
      </c>
      <c r="AB62" s="17" t="str">
        <f t="shared" si="6"/>
        <v/>
      </c>
      <c r="AC62" s="17" t="str">
        <f>IF(AB62="","",VLOOKUP(MAX(AB62,0),Reference!$A$17:$B$20,2,TRUE()))</f>
        <v/>
      </c>
      <c r="AD62" s="16"/>
    </row>
    <row r="63" spans="1:30" x14ac:dyDescent="0.3">
      <c r="A63" s="19"/>
      <c r="B63" s="16"/>
      <c r="C63" s="16"/>
      <c r="D63" s="16"/>
      <c r="E63" s="18"/>
      <c r="F63" s="18"/>
      <c r="G63" s="15" t="str">
        <f t="shared" si="0"/>
        <v/>
      </c>
      <c r="H63" s="16"/>
      <c r="I63" s="17" t="str">
        <f>IF(H63&lt;&gt;"",H63,IF(G63="","",ROUND(G63*IFERROR(INDEX(Reference!$B$44:$B$50,MATCH(C63,Reference!$A$44:$A$50,0)),0),0)))</f>
        <v/>
      </c>
      <c r="J63" s="16"/>
      <c r="K63" s="16"/>
      <c r="L63" s="17" t="str">
        <f t="shared" si="1"/>
        <v/>
      </c>
      <c r="M63" s="17" t="str">
        <f>IFERROR(INDEX(Roster!$D$5:$D$40,MATCH(B63,Roster!$A$5:$A$40,0)),"")</f>
        <v/>
      </c>
      <c r="N63" s="17" t="str">
        <f t="shared" si="2"/>
        <v/>
      </c>
      <c r="O63" s="17" t="str">
        <f>IF(OR(C63="Bullpen",C63="Game"),IFERROR(INDEX(Reference!$B$61:$B$62,MATCH(C63,Reference!$A$61:$A$62,0)),""),IF(D63="","",VLOOKUP(D63,Reference!$A$6:$B$11,2,TRUE())))</f>
        <v/>
      </c>
      <c r="P63" s="17" t="str">
        <f>IF(N63="","",VLOOKUP(MAX(N63,0),Reference!$A$17:$B$20,2,TRUE()))</f>
        <v/>
      </c>
      <c r="Q63" s="17" t="str">
        <f>IF(AND(OR(I63="",O63="",P63=""),OR(R63="",W63=""),OR(X63="",AC63="")),"",IF(OR(I63="",O63="",P63=""),0,I63*O63*P63)+IF(OR(R63="",W63=""),0,R63*IFERROR(INDEX(Reference!$B$61:$B$62,MATCH("Bullpen",Reference!$A$61:$A$62,0)),0)*W63)+IF(OR(X63="",AC63=""),0,X63*VLOOKUP(60,Reference!$A$6:$B$11,2,TRUE())*AC63))</f>
        <v/>
      </c>
      <c r="R63" s="16"/>
      <c r="S63" s="16"/>
      <c r="T63" s="16"/>
      <c r="U63" s="17" t="str">
        <f t="shared" si="3"/>
        <v/>
      </c>
      <c r="V63" s="17" t="str">
        <f t="shared" si="4"/>
        <v/>
      </c>
      <c r="W63" s="17" t="str">
        <f>IF(V63="","",VLOOKUP(MAX(V63,0),Reference!$A$17:$B$20,2,TRUE()))</f>
        <v/>
      </c>
      <c r="X63" s="16"/>
      <c r="Y63" s="16"/>
      <c r="Z63" s="16"/>
      <c r="AA63" s="17" t="str">
        <f t="shared" si="5"/>
        <v/>
      </c>
      <c r="AB63" s="17" t="str">
        <f t="shared" si="6"/>
        <v/>
      </c>
      <c r="AC63" s="17" t="str">
        <f>IF(AB63="","",VLOOKUP(MAX(AB63,0),Reference!$A$17:$B$20,2,TRUE()))</f>
        <v/>
      </c>
      <c r="AD63" s="16"/>
    </row>
    <row r="64" spans="1:30" x14ac:dyDescent="0.3">
      <c r="A64" s="19"/>
      <c r="B64" s="16"/>
      <c r="C64" s="16"/>
      <c r="D64" s="16"/>
      <c r="E64" s="18"/>
      <c r="F64" s="18"/>
      <c r="G64" s="15" t="str">
        <f t="shared" si="0"/>
        <v/>
      </c>
      <c r="H64" s="16"/>
      <c r="I64" s="17" t="str">
        <f>IF(H64&lt;&gt;"",H64,IF(G64="","",ROUND(G64*IFERROR(INDEX(Reference!$B$44:$B$50,MATCH(C64,Reference!$A$44:$A$50,0)),0),0)))</f>
        <v/>
      </c>
      <c r="J64" s="16"/>
      <c r="K64" s="16"/>
      <c r="L64" s="17" t="str">
        <f t="shared" si="1"/>
        <v/>
      </c>
      <c r="M64" s="17" t="str">
        <f>IFERROR(INDEX(Roster!$D$5:$D$40,MATCH(B64,Roster!$A$5:$A$40,0)),"")</f>
        <v/>
      </c>
      <c r="N64" s="17" t="str">
        <f t="shared" si="2"/>
        <v/>
      </c>
      <c r="O64" s="17" t="str">
        <f>IF(OR(C64="Bullpen",C64="Game"),IFERROR(INDEX(Reference!$B$61:$B$62,MATCH(C64,Reference!$A$61:$A$62,0)),""),IF(D64="","",VLOOKUP(D64,Reference!$A$6:$B$11,2,TRUE())))</f>
        <v/>
      </c>
      <c r="P64" s="17" t="str">
        <f>IF(N64="","",VLOOKUP(MAX(N64,0),Reference!$A$17:$B$20,2,TRUE()))</f>
        <v/>
      </c>
      <c r="Q64" s="17" t="str">
        <f>IF(AND(OR(I64="",O64="",P64=""),OR(R64="",W64=""),OR(X64="",AC64="")),"",IF(OR(I64="",O64="",P64=""),0,I64*O64*P64)+IF(OR(R64="",W64=""),0,R64*IFERROR(INDEX(Reference!$B$61:$B$62,MATCH("Bullpen",Reference!$A$61:$A$62,0)),0)*W64)+IF(OR(X64="",AC64=""),0,X64*VLOOKUP(60,Reference!$A$6:$B$11,2,TRUE())*AC64))</f>
        <v/>
      </c>
      <c r="R64" s="16"/>
      <c r="S64" s="16"/>
      <c r="T64" s="16"/>
      <c r="U64" s="17" t="str">
        <f t="shared" si="3"/>
        <v/>
      </c>
      <c r="V64" s="17" t="str">
        <f t="shared" si="4"/>
        <v/>
      </c>
      <c r="W64" s="17" t="str">
        <f>IF(V64="","",VLOOKUP(MAX(V64,0),Reference!$A$17:$B$20,2,TRUE()))</f>
        <v/>
      </c>
      <c r="X64" s="16"/>
      <c r="Y64" s="16"/>
      <c r="Z64" s="16"/>
      <c r="AA64" s="17" t="str">
        <f t="shared" si="5"/>
        <v/>
      </c>
      <c r="AB64" s="17" t="str">
        <f t="shared" si="6"/>
        <v/>
      </c>
      <c r="AC64" s="17" t="str">
        <f>IF(AB64="","",VLOOKUP(MAX(AB64,0),Reference!$A$17:$B$20,2,TRUE()))</f>
        <v/>
      </c>
      <c r="AD64" s="16"/>
    </row>
    <row r="65" spans="1:30" x14ac:dyDescent="0.3">
      <c r="A65" s="19"/>
      <c r="B65" s="16"/>
      <c r="C65" s="16"/>
      <c r="D65" s="16"/>
      <c r="E65" s="18"/>
      <c r="F65" s="18"/>
      <c r="G65" s="15" t="str">
        <f t="shared" si="0"/>
        <v/>
      </c>
      <c r="H65" s="16"/>
      <c r="I65" s="17" t="str">
        <f>IF(H65&lt;&gt;"",H65,IF(G65="","",ROUND(G65*IFERROR(INDEX(Reference!$B$44:$B$50,MATCH(C65,Reference!$A$44:$A$50,0)),0),0)))</f>
        <v/>
      </c>
      <c r="J65" s="16"/>
      <c r="K65" s="16"/>
      <c r="L65" s="17" t="str">
        <f t="shared" si="1"/>
        <v/>
      </c>
      <c r="M65" s="17" t="str">
        <f>IFERROR(INDEX(Roster!$D$5:$D$40,MATCH(B65,Roster!$A$5:$A$40,0)),"")</f>
        <v/>
      </c>
      <c r="N65" s="17" t="str">
        <f t="shared" si="2"/>
        <v/>
      </c>
      <c r="O65" s="17" t="str">
        <f>IF(OR(C65="Bullpen",C65="Game"),IFERROR(INDEX(Reference!$B$61:$B$62,MATCH(C65,Reference!$A$61:$A$62,0)),""),IF(D65="","",VLOOKUP(D65,Reference!$A$6:$B$11,2,TRUE())))</f>
        <v/>
      </c>
      <c r="P65" s="17" t="str">
        <f>IF(N65="","",VLOOKUP(MAX(N65,0),Reference!$A$17:$B$20,2,TRUE()))</f>
        <v/>
      </c>
      <c r="Q65" s="17" t="str">
        <f>IF(AND(OR(I65="",O65="",P65=""),OR(R65="",W65=""),OR(X65="",AC65="")),"",IF(OR(I65="",O65="",P65=""),0,I65*O65*P65)+IF(OR(R65="",W65=""),0,R65*IFERROR(INDEX(Reference!$B$61:$B$62,MATCH("Bullpen",Reference!$A$61:$A$62,0)),0)*W65)+IF(OR(X65="",AC65=""),0,X65*VLOOKUP(60,Reference!$A$6:$B$11,2,TRUE())*AC65))</f>
        <v/>
      </c>
      <c r="R65" s="16"/>
      <c r="S65" s="16"/>
      <c r="T65" s="16"/>
      <c r="U65" s="17" t="str">
        <f t="shared" si="3"/>
        <v/>
      </c>
      <c r="V65" s="17" t="str">
        <f t="shared" si="4"/>
        <v/>
      </c>
      <c r="W65" s="17" t="str">
        <f>IF(V65="","",VLOOKUP(MAX(V65,0),Reference!$A$17:$B$20,2,TRUE()))</f>
        <v/>
      </c>
      <c r="X65" s="16"/>
      <c r="Y65" s="16"/>
      <c r="Z65" s="16"/>
      <c r="AA65" s="17" t="str">
        <f t="shared" si="5"/>
        <v/>
      </c>
      <c r="AB65" s="17" t="str">
        <f t="shared" si="6"/>
        <v/>
      </c>
      <c r="AC65" s="17" t="str">
        <f>IF(AB65="","",VLOOKUP(MAX(AB65,0),Reference!$A$17:$B$20,2,TRUE()))</f>
        <v/>
      </c>
      <c r="AD65" s="16"/>
    </row>
    <row r="66" spans="1:30" x14ac:dyDescent="0.3">
      <c r="A66" s="19"/>
      <c r="B66" s="16"/>
      <c r="C66" s="16"/>
      <c r="D66" s="16"/>
      <c r="E66" s="18"/>
      <c r="F66" s="18"/>
      <c r="G66" s="15" t="str">
        <f t="shared" si="0"/>
        <v/>
      </c>
      <c r="H66" s="16"/>
      <c r="I66" s="17" t="str">
        <f>IF(H66&lt;&gt;"",H66,IF(G66="","",ROUND(G66*IFERROR(INDEX(Reference!$B$44:$B$50,MATCH(C66,Reference!$A$44:$A$50,0)),0),0)))</f>
        <v/>
      </c>
      <c r="J66" s="16"/>
      <c r="K66" s="16"/>
      <c r="L66" s="17" t="str">
        <f t="shared" si="1"/>
        <v/>
      </c>
      <c r="M66" s="17" t="str">
        <f>IFERROR(INDEX(Roster!$D$5:$D$40,MATCH(B66,Roster!$A$5:$A$40,0)),"")</f>
        <v/>
      </c>
      <c r="N66" s="17" t="str">
        <f t="shared" si="2"/>
        <v/>
      </c>
      <c r="O66" s="17" t="str">
        <f>IF(OR(C66="Bullpen",C66="Game"),IFERROR(INDEX(Reference!$B$61:$B$62,MATCH(C66,Reference!$A$61:$A$62,0)),""),IF(D66="","",VLOOKUP(D66,Reference!$A$6:$B$11,2,TRUE())))</f>
        <v/>
      </c>
      <c r="P66" s="17" t="str">
        <f>IF(N66="","",VLOOKUP(MAX(N66,0),Reference!$A$17:$B$20,2,TRUE()))</f>
        <v/>
      </c>
      <c r="Q66" s="17" t="str">
        <f>IF(AND(OR(I66="",O66="",P66=""),OR(R66="",W66=""),OR(X66="",AC66="")),"",IF(OR(I66="",O66="",P66=""),0,I66*O66*P66)+IF(OR(R66="",W66=""),0,R66*IFERROR(INDEX(Reference!$B$61:$B$62,MATCH("Bullpen",Reference!$A$61:$A$62,0)),0)*W66)+IF(OR(X66="",AC66=""),0,X66*VLOOKUP(60,Reference!$A$6:$B$11,2,TRUE())*AC66))</f>
        <v/>
      </c>
      <c r="R66" s="16"/>
      <c r="S66" s="16"/>
      <c r="T66" s="16"/>
      <c r="U66" s="17" t="str">
        <f t="shared" si="3"/>
        <v/>
      </c>
      <c r="V66" s="17" t="str">
        <f t="shared" si="4"/>
        <v/>
      </c>
      <c r="W66" s="17" t="str">
        <f>IF(V66="","",VLOOKUP(MAX(V66,0),Reference!$A$17:$B$20,2,TRUE()))</f>
        <v/>
      </c>
      <c r="X66" s="16"/>
      <c r="Y66" s="16"/>
      <c r="Z66" s="16"/>
      <c r="AA66" s="17" t="str">
        <f t="shared" si="5"/>
        <v/>
      </c>
      <c r="AB66" s="17" t="str">
        <f t="shared" si="6"/>
        <v/>
      </c>
      <c r="AC66" s="17" t="str">
        <f>IF(AB66="","",VLOOKUP(MAX(AB66,0),Reference!$A$17:$B$20,2,TRUE()))</f>
        <v/>
      </c>
      <c r="AD66" s="16"/>
    </row>
    <row r="67" spans="1:30" x14ac:dyDescent="0.3">
      <c r="A67" s="19"/>
      <c r="B67" s="16"/>
      <c r="C67" s="16"/>
      <c r="D67" s="16"/>
      <c r="E67" s="18"/>
      <c r="F67" s="18"/>
      <c r="G67" s="15" t="str">
        <f t="shared" si="0"/>
        <v/>
      </c>
      <c r="H67" s="16"/>
      <c r="I67" s="17" t="str">
        <f>IF(H67&lt;&gt;"",H67,IF(G67="","",ROUND(G67*IFERROR(INDEX(Reference!$B$44:$B$50,MATCH(C67,Reference!$A$44:$A$50,0)),0),0)))</f>
        <v/>
      </c>
      <c r="J67" s="16"/>
      <c r="K67" s="16"/>
      <c r="L67" s="17" t="str">
        <f t="shared" si="1"/>
        <v/>
      </c>
      <c r="M67" s="17" t="str">
        <f>IFERROR(INDEX(Roster!$D$5:$D$40,MATCH(B67,Roster!$A$5:$A$40,0)),"")</f>
        <v/>
      </c>
      <c r="N67" s="17" t="str">
        <f t="shared" si="2"/>
        <v/>
      </c>
      <c r="O67" s="17" t="str">
        <f>IF(OR(C67="Bullpen",C67="Game"),IFERROR(INDEX(Reference!$B$61:$B$62,MATCH(C67,Reference!$A$61:$A$62,0)),""),IF(D67="","",VLOOKUP(D67,Reference!$A$6:$B$11,2,TRUE())))</f>
        <v/>
      </c>
      <c r="P67" s="17" t="str">
        <f>IF(N67="","",VLOOKUP(MAX(N67,0),Reference!$A$17:$B$20,2,TRUE()))</f>
        <v/>
      </c>
      <c r="Q67" s="17" t="str">
        <f>IF(AND(OR(I67="",O67="",P67=""),OR(R67="",W67=""),OR(X67="",AC67="")),"",IF(OR(I67="",O67="",P67=""),0,I67*O67*P67)+IF(OR(R67="",W67=""),0,R67*IFERROR(INDEX(Reference!$B$61:$B$62,MATCH("Bullpen",Reference!$A$61:$A$62,0)),0)*W67)+IF(OR(X67="",AC67=""),0,X67*VLOOKUP(60,Reference!$A$6:$B$11,2,TRUE())*AC67))</f>
        <v/>
      </c>
      <c r="R67" s="16"/>
      <c r="S67" s="16"/>
      <c r="T67" s="16"/>
      <c r="U67" s="17" t="str">
        <f t="shared" si="3"/>
        <v/>
      </c>
      <c r="V67" s="17" t="str">
        <f t="shared" si="4"/>
        <v/>
      </c>
      <c r="W67" s="17" t="str">
        <f>IF(V67="","",VLOOKUP(MAX(V67,0),Reference!$A$17:$B$20,2,TRUE()))</f>
        <v/>
      </c>
      <c r="X67" s="16"/>
      <c r="Y67" s="16"/>
      <c r="Z67" s="16"/>
      <c r="AA67" s="17" t="str">
        <f t="shared" si="5"/>
        <v/>
      </c>
      <c r="AB67" s="17" t="str">
        <f t="shared" si="6"/>
        <v/>
      </c>
      <c r="AC67" s="17" t="str">
        <f>IF(AB67="","",VLOOKUP(MAX(AB67,0),Reference!$A$17:$B$20,2,TRUE()))</f>
        <v/>
      </c>
      <c r="AD67" s="16"/>
    </row>
    <row r="68" spans="1:30" x14ac:dyDescent="0.3">
      <c r="A68" s="19"/>
      <c r="B68" s="16"/>
      <c r="C68" s="16"/>
      <c r="D68" s="16"/>
      <c r="E68" s="18"/>
      <c r="F68" s="18"/>
      <c r="G68" s="15" t="str">
        <f t="shared" si="0"/>
        <v/>
      </c>
      <c r="H68" s="16"/>
      <c r="I68" s="17" t="str">
        <f>IF(H68&lt;&gt;"",H68,IF(G68="","",ROUND(G68*IFERROR(INDEX(Reference!$B$44:$B$50,MATCH(C68,Reference!$A$44:$A$50,0)),0),0)))</f>
        <v/>
      </c>
      <c r="J68" s="16"/>
      <c r="K68" s="16"/>
      <c r="L68" s="17" t="str">
        <f t="shared" si="1"/>
        <v/>
      </c>
      <c r="M68" s="17" t="str">
        <f>IFERROR(INDEX(Roster!$D$5:$D$40,MATCH(B68,Roster!$A$5:$A$40,0)),"")</f>
        <v/>
      </c>
      <c r="N68" s="17" t="str">
        <f t="shared" si="2"/>
        <v/>
      </c>
      <c r="O68" s="17" t="str">
        <f>IF(OR(C68="Bullpen",C68="Game"),IFERROR(INDEX(Reference!$B$61:$B$62,MATCH(C68,Reference!$A$61:$A$62,0)),""),IF(D68="","",VLOOKUP(D68,Reference!$A$6:$B$11,2,TRUE())))</f>
        <v/>
      </c>
      <c r="P68" s="17" t="str">
        <f>IF(N68="","",VLOOKUP(MAX(N68,0),Reference!$A$17:$B$20,2,TRUE()))</f>
        <v/>
      </c>
      <c r="Q68" s="17" t="str">
        <f>IF(AND(OR(I68="",O68="",P68=""),OR(R68="",W68=""),OR(X68="",AC68="")),"",IF(OR(I68="",O68="",P68=""),0,I68*O68*P68)+IF(OR(R68="",W68=""),0,R68*IFERROR(INDEX(Reference!$B$61:$B$62,MATCH("Bullpen",Reference!$A$61:$A$62,0)),0)*W68)+IF(OR(X68="",AC68=""),0,X68*VLOOKUP(60,Reference!$A$6:$B$11,2,TRUE())*AC68))</f>
        <v/>
      </c>
      <c r="R68" s="16"/>
      <c r="S68" s="16"/>
      <c r="T68" s="16"/>
      <c r="U68" s="17" t="str">
        <f t="shared" si="3"/>
        <v/>
      </c>
      <c r="V68" s="17" t="str">
        <f t="shared" si="4"/>
        <v/>
      </c>
      <c r="W68" s="17" t="str">
        <f>IF(V68="","",VLOOKUP(MAX(V68,0),Reference!$A$17:$B$20,2,TRUE()))</f>
        <v/>
      </c>
      <c r="X68" s="16"/>
      <c r="Y68" s="16"/>
      <c r="Z68" s="16"/>
      <c r="AA68" s="17" t="str">
        <f t="shared" si="5"/>
        <v/>
      </c>
      <c r="AB68" s="17" t="str">
        <f t="shared" si="6"/>
        <v/>
      </c>
      <c r="AC68" s="17" t="str">
        <f>IF(AB68="","",VLOOKUP(MAX(AB68,0),Reference!$A$17:$B$20,2,TRUE()))</f>
        <v/>
      </c>
      <c r="AD68" s="16"/>
    </row>
    <row r="69" spans="1:30" x14ac:dyDescent="0.3">
      <c r="A69" s="19"/>
      <c r="B69" s="16"/>
      <c r="C69" s="16"/>
      <c r="D69" s="16"/>
      <c r="E69" s="18"/>
      <c r="F69" s="18"/>
      <c r="G69" s="15" t="str">
        <f t="shared" ref="G69:G132" si="7">IF(OR(E69="",F69=""),"",(F69-E69)*1440)</f>
        <v/>
      </c>
      <c r="H69" s="16"/>
      <c r="I69" s="17" t="str">
        <f>IF(H69&lt;&gt;"",H69,IF(G69="","",ROUND(G69*IFERROR(INDEX(Reference!$B$44:$B$50,MATCH(C69,Reference!$A$44:$A$50,0)),0),0)))</f>
        <v/>
      </c>
      <c r="J69" s="16"/>
      <c r="K69" s="16"/>
      <c r="L69" s="17" t="str">
        <f t="shared" ref="L69:L132" si="8">IF(J69="","",IF(K69="",J69,AVERAGE(J69,K69)))</f>
        <v/>
      </c>
      <c r="M69" s="17" t="str">
        <f>IFERROR(INDEX(Roster!$D$5:$D$40,MATCH(B69,Roster!$A$5:$A$40,0)),"")</f>
        <v/>
      </c>
      <c r="N69" s="17" t="str">
        <f t="shared" ref="N69:N132" si="9">IF(OR(L69="",M69="",M69=0),"",M69-L69)</f>
        <v/>
      </c>
      <c r="O69" s="17" t="str">
        <f>IF(OR(C69="Bullpen",C69="Game"),IFERROR(INDEX(Reference!$B$61:$B$62,MATCH(C69,Reference!$A$61:$A$62,0)),""),IF(D69="","",VLOOKUP(D69,Reference!$A$6:$B$11,2,TRUE())))</f>
        <v/>
      </c>
      <c r="P69" s="17" t="str">
        <f>IF(N69="","",VLOOKUP(MAX(N69,0),Reference!$A$17:$B$20,2,TRUE()))</f>
        <v/>
      </c>
      <c r="Q69" s="17" t="str">
        <f>IF(AND(OR(I69="",O69="",P69=""),OR(R69="",W69=""),OR(X69="",AC69="")),"",IF(OR(I69="",O69="",P69=""),0,I69*O69*P69)+IF(OR(R69="",W69=""),0,R69*IFERROR(INDEX(Reference!$B$61:$B$62,MATCH("Bullpen",Reference!$A$61:$A$62,0)),0)*W69)+IF(OR(X69="",AC69=""),0,X69*VLOOKUP(60,Reference!$A$6:$B$11,2,TRUE())*AC69))</f>
        <v/>
      </c>
      <c r="R69" s="16"/>
      <c r="S69" s="16"/>
      <c r="T69" s="16"/>
      <c r="U69" s="17" t="str">
        <f t="shared" ref="U69:U132" si="10">IF(S69="","",IF(T69="",S69,AVERAGE(S69,T69)))</f>
        <v/>
      </c>
      <c r="V69" s="17" t="str">
        <f t="shared" ref="V69:V132" si="11">IF(OR(U69="",M69="",M69=0),"",M69-U69)</f>
        <v/>
      </c>
      <c r="W69" s="17" t="str">
        <f>IF(V69="","",VLOOKUP(MAX(V69,0),Reference!$A$17:$B$20,2,TRUE()))</f>
        <v/>
      </c>
      <c r="X69" s="16"/>
      <c r="Y69" s="16"/>
      <c r="Z69" s="16"/>
      <c r="AA69" s="17" t="str">
        <f t="shared" ref="AA69:AA132" si="12">IF(Y69="","",IF(Z69="",Y69,AVERAGE(Y69,Z69)))</f>
        <v/>
      </c>
      <c r="AB69" s="17" t="str">
        <f t="shared" ref="AB69:AB132" si="13">IF(OR(AA69="",M69="",M69=0),"",M69-AA69)</f>
        <v/>
      </c>
      <c r="AC69" s="17" t="str">
        <f>IF(AB69="","",VLOOKUP(MAX(AB69,0),Reference!$A$17:$B$20,2,TRUE()))</f>
        <v/>
      </c>
      <c r="AD69" s="16"/>
    </row>
    <row r="70" spans="1:30" x14ac:dyDescent="0.3">
      <c r="A70" s="19"/>
      <c r="B70" s="16"/>
      <c r="C70" s="16"/>
      <c r="D70" s="16"/>
      <c r="E70" s="18"/>
      <c r="F70" s="18"/>
      <c r="G70" s="15" t="str">
        <f t="shared" si="7"/>
        <v/>
      </c>
      <c r="H70" s="16"/>
      <c r="I70" s="17" t="str">
        <f>IF(H70&lt;&gt;"",H70,IF(G70="","",ROUND(G70*IFERROR(INDEX(Reference!$B$44:$B$50,MATCH(C70,Reference!$A$44:$A$50,0)),0),0)))</f>
        <v/>
      </c>
      <c r="J70" s="16"/>
      <c r="K70" s="16"/>
      <c r="L70" s="17" t="str">
        <f t="shared" si="8"/>
        <v/>
      </c>
      <c r="M70" s="17" t="str">
        <f>IFERROR(INDEX(Roster!$D$5:$D$40,MATCH(B70,Roster!$A$5:$A$40,0)),"")</f>
        <v/>
      </c>
      <c r="N70" s="17" t="str">
        <f t="shared" si="9"/>
        <v/>
      </c>
      <c r="O70" s="17" t="str">
        <f>IF(OR(C70="Bullpen",C70="Game"),IFERROR(INDEX(Reference!$B$61:$B$62,MATCH(C70,Reference!$A$61:$A$62,0)),""),IF(D70="","",VLOOKUP(D70,Reference!$A$6:$B$11,2,TRUE())))</f>
        <v/>
      </c>
      <c r="P70" s="17" t="str">
        <f>IF(N70="","",VLOOKUP(MAX(N70,0),Reference!$A$17:$B$20,2,TRUE()))</f>
        <v/>
      </c>
      <c r="Q70" s="17" t="str">
        <f>IF(AND(OR(I70="",O70="",P70=""),OR(R70="",W70=""),OR(X70="",AC70="")),"",IF(OR(I70="",O70="",P70=""),0,I70*O70*P70)+IF(OR(R70="",W70=""),0,R70*IFERROR(INDEX(Reference!$B$61:$B$62,MATCH("Bullpen",Reference!$A$61:$A$62,0)),0)*W70)+IF(OR(X70="",AC70=""),0,X70*VLOOKUP(60,Reference!$A$6:$B$11,2,TRUE())*AC70))</f>
        <v/>
      </c>
      <c r="R70" s="16"/>
      <c r="S70" s="16"/>
      <c r="T70" s="16"/>
      <c r="U70" s="17" t="str">
        <f t="shared" si="10"/>
        <v/>
      </c>
      <c r="V70" s="17" t="str">
        <f t="shared" si="11"/>
        <v/>
      </c>
      <c r="W70" s="17" t="str">
        <f>IF(V70="","",VLOOKUP(MAX(V70,0),Reference!$A$17:$B$20,2,TRUE()))</f>
        <v/>
      </c>
      <c r="X70" s="16"/>
      <c r="Y70" s="16"/>
      <c r="Z70" s="16"/>
      <c r="AA70" s="17" t="str">
        <f t="shared" si="12"/>
        <v/>
      </c>
      <c r="AB70" s="17" t="str">
        <f t="shared" si="13"/>
        <v/>
      </c>
      <c r="AC70" s="17" t="str">
        <f>IF(AB70="","",VLOOKUP(MAX(AB70,0),Reference!$A$17:$B$20,2,TRUE()))</f>
        <v/>
      </c>
      <c r="AD70" s="16"/>
    </row>
    <row r="71" spans="1:30" x14ac:dyDescent="0.3">
      <c r="A71" s="19"/>
      <c r="B71" s="16"/>
      <c r="C71" s="16"/>
      <c r="D71" s="16"/>
      <c r="E71" s="18"/>
      <c r="F71" s="18"/>
      <c r="G71" s="15" t="str">
        <f t="shared" si="7"/>
        <v/>
      </c>
      <c r="H71" s="16"/>
      <c r="I71" s="17" t="str">
        <f>IF(H71&lt;&gt;"",H71,IF(G71="","",ROUND(G71*IFERROR(INDEX(Reference!$B$44:$B$50,MATCH(C71,Reference!$A$44:$A$50,0)),0),0)))</f>
        <v/>
      </c>
      <c r="J71" s="16"/>
      <c r="K71" s="16"/>
      <c r="L71" s="17" t="str">
        <f t="shared" si="8"/>
        <v/>
      </c>
      <c r="M71" s="17" t="str">
        <f>IFERROR(INDEX(Roster!$D$5:$D$40,MATCH(B71,Roster!$A$5:$A$40,0)),"")</f>
        <v/>
      </c>
      <c r="N71" s="17" t="str">
        <f t="shared" si="9"/>
        <v/>
      </c>
      <c r="O71" s="17" t="str">
        <f>IF(OR(C71="Bullpen",C71="Game"),IFERROR(INDEX(Reference!$B$61:$B$62,MATCH(C71,Reference!$A$61:$A$62,0)),""),IF(D71="","",VLOOKUP(D71,Reference!$A$6:$B$11,2,TRUE())))</f>
        <v/>
      </c>
      <c r="P71" s="17" t="str">
        <f>IF(N71="","",VLOOKUP(MAX(N71,0),Reference!$A$17:$B$20,2,TRUE()))</f>
        <v/>
      </c>
      <c r="Q71" s="17" t="str">
        <f>IF(AND(OR(I71="",O71="",P71=""),OR(R71="",W71=""),OR(X71="",AC71="")),"",IF(OR(I71="",O71="",P71=""),0,I71*O71*P71)+IF(OR(R71="",W71=""),0,R71*IFERROR(INDEX(Reference!$B$61:$B$62,MATCH("Bullpen",Reference!$A$61:$A$62,0)),0)*W71)+IF(OR(X71="",AC71=""),0,X71*VLOOKUP(60,Reference!$A$6:$B$11,2,TRUE())*AC71))</f>
        <v/>
      </c>
      <c r="R71" s="16"/>
      <c r="S71" s="16"/>
      <c r="T71" s="16"/>
      <c r="U71" s="17" t="str">
        <f t="shared" si="10"/>
        <v/>
      </c>
      <c r="V71" s="17" t="str">
        <f t="shared" si="11"/>
        <v/>
      </c>
      <c r="W71" s="17" t="str">
        <f>IF(V71="","",VLOOKUP(MAX(V71,0),Reference!$A$17:$B$20,2,TRUE()))</f>
        <v/>
      </c>
      <c r="X71" s="16"/>
      <c r="Y71" s="16"/>
      <c r="Z71" s="16"/>
      <c r="AA71" s="17" t="str">
        <f t="shared" si="12"/>
        <v/>
      </c>
      <c r="AB71" s="17" t="str">
        <f t="shared" si="13"/>
        <v/>
      </c>
      <c r="AC71" s="17" t="str">
        <f>IF(AB71="","",VLOOKUP(MAX(AB71,0),Reference!$A$17:$B$20,2,TRUE()))</f>
        <v/>
      </c>
      <c r="AD71" s="16"/>
    </row>
    <row r="72" spans="1:30" x14ac:dyDescent="0.3">
      <c r="A72" s="19"/>
      <c r="B72" s="16"/>
      <c r="C72" s="16"/>
      <c r="D72" s="16"/>
      <c r="E72" s="18"/>
      <c r="F72" s="18"/>
      <c r="G72" s="15" t="str">
        <f t="shared" si="7"/>
        <v/>
      </c>
      <c r="H72" s="16"/>
      <c r="I72" s="17" t="str">
        <f>IF(H72&lt;&gt;"",H72,IF(G72="","",ROUND(G72*IFERROR(INDEX(Reference!$B$44:$B$50,MATCH(C72,Reference!$A$44:$A$50,0)),0),0)))</f>
        <v/>
      </c>
      <c r="J72" s="16"/>
      <c r="K72" s="16"/>
      <c r="L72" s="17" t="str">
        <f t="shared" si="8"/>
        <v/>
      </c>
      <c r="M72" s="17" t="str">
        <f>IFERROR(INDEX(Roster!$D$5:$D$40,MATCH(B72,Roster!$A$5:$A$40,0)),"")</f>
        <v/>
      </c>
      <c r="N72" s="17" t="str">
        <f t="shared" si="9"/>
        <v/>
      </c>
      <c r="O72" s="17" t="str">
        <f>IF(OR(C72="Bullpen",C72="Game"),IFERROR(INDEX(Reference!$B$61:$B$62,MATCH(C72,Reference!$A$61:$A$62,0)),""),IF(D72="","",VLOOKUP(D72,Reference!$A$6:$B$11,2,TRUE())))</f>
        <v/>
      </c>
      <c r="P72" s="17" t="str">
        <f>IF(N72="","",VLOOKUP(MAX(N72,0),Reference!$A$17:$B$20,2,TRUE()))</f>
        <v/>
      </c>
      <c r="Q72" s="17" t="str">
        <f>IF(AND(OR(I72="",O72="",P72=""),OR(R72="",W72=""),OR(X72="",AC72="")),"",IF(OR(I72="",O72="",P72=""),0,I72*O72*P72)+IF(OR(R72="",W72=""),0,R72*IFERROR(INDEX(Reference!$B$61:$B$62,MATCH("Bullpen",Reference!$A$61:$A$62,0)),0)*W72)+IF(OR(X72="",AC72=""),0,X72*VLOOKUP(60,Reference!$A$6:$B$11,2,TRUE())*AC72))</f>
        <v/>
      </c>
      <c r="R72" s="16"/>
      <c r="S72" s="16"/>
      <c r="T72" s="16"/>
      <c r="U72" s="17" t="str">
        <f t="shared" si="10"/>
        <v/>
      </c>
      <c r="V72" s="17" t="str">
        <f t="shared" si="11"/>
        <v/>
      </c>
      <c r="W72" s="17" t="str">
        <f>IF(V72="","",VLOOKUP(MAX(V72,0),Reference!$A$17:$B$20,2,TRUE()))</f>
        <v/>
      </c>
      <c r="X72" s="16"/>
      <c r="Y72" s="16"/>
      <c r="Z72" s="16"/>
      <c r="AA72" s="17" t="str">
        <f t="shared" si="12"/>
        <v/>
      </c>
      <c r="AB72" s="17" t="str">
        <f t="shared" si="13"/>
        <v/>
      </c>
      <c r="AC72" s="17" t="str">
        <f>IF(AB72="","",VLOOKUP(MAX(AB72,0),Reference!$A$17:$B$20,2,TRUE()))</f>
        <v/>
      </c>
      <c r="AD72" s="16"/>
    </row>
    <row r="73" spans="1:30" x14ac:dyDescent="0.3">
      <c r="A73" s="19"/>
      <c r="B73" s="16"/>
      <c r="C73" s="16"/>
      <c r="D73" s="16"/>
      <c r="E73" s="18"/>
      <c r="F73" s="18"/>
      <c r="G73" s="15" t="str">
        <f t="shared" si="7"/>
        <v/>
      </c>
      <c r="H73" s="16"/>
      <c r="I73" s="17" t="str">
        <f>IF(H73&lt;&gt;"",H73,IF(G73="","",ROUND(G73*IFERROR(INDEX(Reference!$B$44:$B$50,MATCH(C73,Reference!$A$44:$A$50,0)),0),0)))</f>
        <v/>
      </c>
      <c r="J73" s="16"/>
      <c r="K73" s="16"/>
      <c r="L73" s="17" t="str">
        <f t="shared" si="8"/>
        <v/>
      </c>
      <c r="M73" s="17" t="str">
        <f>IFERROR(INDEX(Roster!$D$5:$D$40,MATCH(B73,Roster!$A$5:$A$40,0)),"")</f>
        <v/>
      </c>
      <c r="N73" s="17" t="str">
        <f t="shared" si="9"/>
        <v/>
      </c>
      <c r="O73" s="17" t="str">
        <f>IF(OR(C73="Bullpen",C73="Game"),IFERROR(INDEX(Reference!$B$61:$B$62,MATCH(C73,Reference!$A$61:$A$62,0)),""),IF(D73="","",VLOOKUP(D73,Reference!$A$6:$B$11,2,TRUE())))</f>
        <v/>
      </c>
      <c r="P73" s="17" t="str">
        <f>IF(N73="","",VLOOKUP(MAX(N73,0),Reference!$A$17:$B$20,2,TRUE()))</f>
        <v/>
      </c>
      <c r="Q73" s="17" t="str">
        <f>IF(AND(OR(I73="",O73="",P73=""),OR(R73="",W73=""),OR(X73="",AC73="")),"",IF(OR(I73="",O73="",P73=""),0,I73*O73*P73)+IF(OR(R73="",W73=""),0,R73*IFERROR(INDEX(Reference!$B$61:$B$62,MATCH("Bullpen",Reference!$A$61:$A$62,0)),0)*W73)+IF(OR(X73="",AC73=""),0,X73*VLOOKUP(60,Reference!$A$6:$B$11,2,TRUE())*AC73))</f>
        <v/>
      </c>
      <c r="R73" s="16"/>
      <c r="S73" s="16"/>
      <c r="T73" s="16"/>
      <c r="U73" s="17" t="str">
        <f t="shared" si="10"/>
        <v/>
      </c>
      <c r="V73" s="17" t="str">
        <f t="shared" si="11"/>
        <v/>
      </c>
      <c r="W73" s="17" t="str">
        <f>IF(V73="","",VLOOKUP(MAX(V73,0),Reference!$A$17:$B$20,2,TRUE()))</f>
        <v/>
      </c>
      <c r="X73" s="16"/>
      <c r="Y73" s="16"/>
      <c r="Z73" s="16"/>
      <c r="AA73" s="17" t="str">
        <f t="shared" si="12"/>
        <v/>
      </c>
      <c r="AB73" s="17" t="str">
        <f t="shared" si="13"/>
        <v/>
      </c>
      <c r="AC73" s="17" t="str">
        <f>IF(AB73="","",VLOOKUP(MAX(AB73,0),Reference!$A$17:$B$20,2,TRUE()))</f>
        <v/>
      </c>
      <c r="AD73" s="16"/>
    </row>
    <row r="74" spans="1:30" x14ac:dyDescent="0.3">
      <c r="A74" s="19"/>
      <c r="B74" s="16"/>
      <c r="C74" s="16"/>
      <c r="D74" s="16"/>
      <c r="E74" s="18"/>
      <c r="F74" s="18"/>
      <c r="G74" s="15" t="str">
        <f t="shared" si="7"/>
        <v/>
      </c>
      <c r="H74" s="16"/>
      <c r="I74" s="17" t="str">
        <f>IF(H74&lt;&gt;"",H74,IF(G74="","",ROUND(G74*IFERROR(INDEX(Reference!$B$44:$B$50,MATCH(C74,Reference!$A$44:$A$50,0)),0),0)))</f>
        <v/>
      </c>
      <c r="J74" s="16"/>
      <c r="K74" s="16"/>
      <c r="L74" s="17" t="str">
        <f t="shared" si="8"/>
        <v/>
      </c>
      <c r="M74" s="17" t="str">
        <f>IFERROR(INDEX(Roster!$D$5:$D$40,MATCH(B74,Roster!$A$5:$A$40,0)),"")</f>
        <v/>
      </c>
      <c r="N74" s="17" t="str">
        <f t="shared" si="9"/>
        <v/>
      </c>
      <c r="O74" s="17" t="str">
        <f>IF(OR(C74="Bullpen",C74="Game"),IFERROR(INDEX(Reference!$B$61:$B$62,MATCH(C74,Reference!$A$61:$A$62,0)),""),IF(D74="","",VLOOKUP(D74,Reference!$A$6:$B$11,2,TRUE())))</f>
        <v/>
      </c>
      <c r="P74" s="17" t="str">
        <f>IF(N74="","",VLOOKUP(MAX(N74,0),Reference!$A$17:$B$20,2,TRUE()))</f>
        <v/>
      </c>
      <c r="Q74" s="17" t="str">
        <f>IF(AND(OR(I74="",O74="",P74=""),OR(R74="",W74=""),OR(X74="",AC74="")),"",IF(OR(I74="",O74="",P74=""),0,I74*O74*P74)+IF(OR(R74="",W74=""),0,R74*IFERROR(INDEX(Reference!$B$61:$B$62,MATCH("Bullpen",Reference!$A$61:$A$62,0)),0)*W74)+IF(OR(X74="",AC74=""),0,X74*VLOOKUP(60,Reference!$A$6:$B$11,2,TRUE())*AC74))</f>
        <v/>
      </c>
      <c r="R74" s="16"/>
      <c r="S74" s="16"/>
      <c r="T74" s="16"/>
      <c r="U74" s="17" t="str">
        <f t="shared" si="10"/>
        <v/>
      </c>
      <c r="V74" s="17" t="str">
        <f t="shared" si="11"/>
        <v/>
      </c>
      <c r="W74" s="17" t="str">
        <f>IF(V74="","",VLOOKUP(MAX(V74,0),Reference!$A$17:$B$20,2,TRUE()))</f>
        <v/>
      </c>
      <c r="X74" s="16"/>
      <c r="Y74" s="16"/>
      <c r="Z74" s="16"/>
      <c r="AA74" s="17" t="str">
        <f t="shared" si="12"/>
        <v/>
      </c>
      <c r="AB74" s="17" t="str">
        <f t="shared" si="13"/>
        <v/>
      </c>
      <c r="AC74" s="17" t="str">
        <f>IF(AB74="","",VLOOKUP(MAX(AB74,0),Reference!$A$17:$B$20,2,TRUE()))</f>
        <v/>
      </c>
      <c r="AD74" s="16"/>
    </row>
    <row r="75" spans="1:30" x14ac:dyDescent="0.3">
      <c r="A75" s="19"/>
      <c r="B75" s="16"/>
      <c r="C75" s="16"/>
      <c r="D75" s="16"/>
      <c r="E75" s="18"/>
      <c r="F75" s="18"/>
      <c r="G75" s="15" t="str">
        <f t="shared" si="7"/>
        <v/>
      </c>
      <c r="H75" s="16"/>
      <c r="I75" s="17" t="str">
        <f>IF(H75&lt;&gt;"",H75,IF(G75="","",ROUND(G75*IFERROR(INDEX(Reference!$B$44:$B$50,MATCH(C75,Reference!$A$44:$A$50,0)),0),0)))</f>
        <v/>
      </c>
      <c r="J75" s="16"/>
      <c r="K75" s="16"/>
      <c r="L75" s="17" t="str">
        <f t="shared" si="8"/>
        <v/>
      </c>
      <c r="M75" s="17" t="str">
        <f>IFERROR(INDEX(Roster!$D$5:$D$40,MATCH(B75,Roster!$A$5:$A$40,0)),"")</f>
        <v/>
      </c>
      <c r="N75" s="17" t="str">
        <f t="shared" si="9"/>
        <v/>
      </c>
      <c r="O75" s="17" t="str">
        <f>IF(OR(C75="Bullpen",C75="Game"),IFERROR(INDEX(Reference!$B$61:$B$62,MATCH(C75,Reference!$A$61:$A$62,0)),""),IF(D75="","",VLOOKUP(D75,Reference!$A$6:$B$11,2,TRUE())))</f>
        <v/>
      </c>
      <c r="P75" s="17" t="str">
        <f>IF(N75="","",VLOOKUP(MAX(N75,0),Reference!$A$17:$B$20,2,TRUE()))</f>
        <v/>
      </c>
      <c r="Q75" s="17" t="str">
        <f>IF(AND(OR(I75="",O75="",P75=""),OR(R75="",W75=""),OR(X75="",AC75="")),"",IF(OR(I75="",O75="",P75=""),0,I75*O75*P75)+IF(OR(R75="",W75=""),0,R75*IFERROR(INDEX(Reference!$B$61:$B$62,MATCH("Bullpen",Reference!$A$61:$A$62,0)),0)*W75)+IF(OR(X75="",AC75=""),0,X75*VLOOKUP(60,Reference!$A$6:$B$11,2,TRUE())*AC75))</f>
        <v/>
      </c>
      <c r="R75" s="16"/>
      <c r="S75" s="16"/>
      <c r="T75" s="16"/>
      <c r="U75" s="17" t="str">
        <f t="shared" si="10"/>
        <v/>
      </c>
      <c r="V75" s="17" t="str">
        <f t="shared" si="11"/>
        <v/>
      </c>
      <c r="W75" s="17" t="str">
        <f>IF(V75="","",VLOOKUP(MAX(V75,0),Reference!$A$17:$B$20,2,TRUE()))</f>
        <v/>
      </c>
      <c r="X75" s="16"/>
      <c r="Y75" s="16"/>
      <c r="Z75" s="16"/>
      <c r="AA75" s="17" t="str">
        <f t="shared" si="12"/>
        <v/>
      </c>
      <c r="AB75" s="17" t="str">
        <f t="shared" si="13"/>
        <v/>
      </c>
      <c r="AC75" s="17" t="str">
        <f>IF(AB75="","",VLOOKUP(MAX(AB75,0),Reference!$A$17:$B$20,2,TRUE()))</f>
        <v/>
      </c>
      <c r="AD75" s="16"/>
    </row>
    <row r="76" spans="1:30" x14ac:dyDescent="0.3">
      <c r="A76" s="19"/>
      <c r="B76" s="16"/>
      <c r="C76" s="16"/>
      <c r="D76" s="16"/>
      <c r="E76" s="18"/>
      <c r="F76" s="18"/>
      <c r="G76" s="15" t="str">
        <f t="shared" si="7"/>
        <v/>
      </c>
      <c r="H76" s="16"/>
      <c r="I76" s="17" t="str">
        <f>IF(H76&lt;&gt;"",H76,IF(G76="","",ROUND(G76*IFERROR(INDEX(Reference!$B$44:$B$50,MATCH(C76,Reference!$A$44:$A$50,0)),0),0)))</f>
        <v/>
      </c>
      <c r="J76" s="16"/>
      <c r="K76" s="16"/>
      <c r="L76" s="17" t="str">
        <f t="shared" si="8"/>
        <v/>
      </c>
      <c r="M76" s="17" t="str">
        <f>IFERROR(INDEX(Roster!$D$5:$D$40,MATCH(B76,Roster!$A$5:$A$40,0)),"")</f>
        <v/>
      </c>
      <c r="N76" s="17" t="str">
        <f t="shared" si="9"/>
        <v/>
      </c>
      <c r="O76" s="17" t="str">
        <f>IF(OR(C76="Bullpen",C76="Game"),IFERROR(INDEX(Reference!$B$61:$B$62,MATCH(C76,Reference!$A$61:$A$62,0)),""),IF(D76="","",VLOOKUP(D76,Reference!$A$6:$B$11,2,TRUE())))</f>
        <v/>
      </c>
      <c r="P76" s="17" t="str">
        <f>IF(N76="","",VLOOKUP(MAX(N76,0),Reference!$A$17:$B$20,2,TRUE()))</f>
        <v/>
      </c>
      <c r="Q76" s="17" t="str">
        <f>IF(AND(OR(I76="",O76="",P76=""),OR(R76="",W76=""),OR(X76="",AC76="")),"",IF(OR(I76="",O76="",P76=""),0,I76*O76*P76)+IF(OR(R76="",W76=""),0,R76*IFERROR(INDEX(Reference!$B$61:$B$62,MATCH("Bullpen",Reference!$A$61:$A$62,0)),0)*W76)+IF(OR(X76="",AC76=""),0,X76*VLOOKUP(60,Reference!$A$6:$B$11,2,TRUE())*AC76))</f>
        <v/>
      </c>
      <c r="R76" s="16"/>
      <c r="S76" s="16"/>
      <c r="T76" s="16"/>
      <c r="U76" s="17" t="str">
        <f t="shared" si="10"/>
        <v/>
      </c>
      <c r="V76" s="17" t="str">
        <f t="shared" si="11"/>
        <v/>
      </c>
      <c r="W76" s="17" t="str">
        <f>IF(V76="","",VLOOKUP(MAX(V76,0),Reference!$A$17:$B$20,2,TRUE()))</f>
        <v/>
      </c>
      <c r="X76" s="16"/>
      <c r="Y76" s="16"/>
      <c r="Z76" s="16"/>
      <c r="AA76" s="17" t="str">
        <f t="shared" si="12"/>
        <v/>
      </c>
      <c r="AB76" s="17" t="str">
        <f t="shared" si="13"/>
        <v/>
      </c>
      <c r="AC76" s="17" t="str">
        <f>IF(AB76="","",VLOOKUP(MAX(AB76,0),Reference!$A$17:$B$20,2,TRUE()))</f>
        <v/>
      </c>
      <c r="AD76" s="16"/>
    </row>
    <row r="77" spans="1:30" x14ac:dyDescent="0.3">
      <c r="A77" s="19"/>
      <c r="B77" s="16"/>
      <c r="C77" s="16"/>
      <c r="D77" s="16"/>
      <c r="E77" s="18"/>
      <c r="F77" s="18"/>
      <c r="G77" s="15" t="str">
        <f t="shared" si="7"/>
        <v/>
      </c>
      <c r="H77" s="16"/>
      <c r="I77" s="17" t="str">
        <f>IF(H77&lt;&gt;"",H77,IF(G77="","",ROUND(G77*IFERROR(INDEX(Reference!$B$44:$B$50,MATCH(C77,Reference!$A$44:$A$50,0)),0),0)))</f>
        <v/>
      </c>
      <c r="J77" s="16"/>
      <c r="K77" s="16"/>
      <c r="L77" s="17" t="str">
        <f t="shared" si="8"/>
        <v/>
      </c>
      <c r="M77" s="17" t="str">
        <f>IFERROR(INDEX(Roster!$D$5:$D$40,MATCH(B77,Roster!$A$5:$A$40,0)),"")</f>
        <v/>
      </c>
      <c r="N77" s="17" t="str">
        <f t="shared" si="9"/>
        <v/>
      </c>
      <c r="O77" s="17" t="str">
        <f>IF(OR(C77="Bullpen",C77="Game"),IFERROR(INDEX(Reference!$B$61:$B$62,MATCH(C77,Reference!$A$61:$A$62,0)),""),IF(D77="","",VLOOKUP(D77,Reference!$A$6:$B$11,2,TRUE())))</f>
        <v/>
      </c>
      <c r="P77" s="17" t="str">
        <f>IF(N77="","",VLOOKUP(MAX(N77,0),Reference!$A$17:$B$20,2,TRUE()))</f>
        <v/>
      </c>
      <c r="Q77" s="17" t="str">
        <f>IF(AND(OR(I77="",O77="",P77=""),OR(R77="",W77=""),OR(X77="",AC77="")),"",IF(OR(I77="",O77="",P77=""),0,I77*O77*P77)+IF(OR(R77="",W77=""),0,R77*IFERROR(INDEX(Reference!$B$61:$B$62,MATCH("Bullpen",Reference!$A$61:$A$62,0)),0)*W77)+IF(OR(X77="",AC77=""),0,X77*VLOOKUP(60,Reference!$A$6:$B$11,2,TRUE())*AC77))</f>
        <v/>
      </c>
      <c r="R77" s="16"/>
      <c r="S77" s="16"/>
      <c r="T77" s="16"/>
      <c r="U77" s="17" t="str">
        <f t="shared" si="10"/>
        <v/>
      </c>
      <c r="V77" s="17" t="str">
        <f t="shared" si="11"/>
        <v/>
      </c>
      <c r="W77" s="17" t="str">
        <f>IF(V77="","",VLOOKUP(MAX(V77,0),Reference!$A$17:$B$20,2,TRUE()))</f>
        <v/>
      </c>
      <c r="X77" s="16"/>
      <c r="Y77" s="16"/>
      <c r="Z77" s="16"/>
      <c r="AA77" s="17" t="str">
        <f t="shared" si="12"/>
        <v/>
      </c>
      <c r="AB77" s="17" t="str">
        <f t="shared" si="13"/>
        <v/>
      </c>
      <c r="AC77" s="17" t="str">
        <f>IF(AB77="","",VLOOKUP(MAX(AB77,0),Reference!$A$17:$B$20,2,TRUE()))</f>
        <v/>
      </c>
      <c r="AD77" s="16"/>
    </row>
    <row r="78" spans="1:30" x14ac:dyDescent="0.3">
      <c r="A78" s="19"/>
      <c r="B78" s="16"/>
      <c r="C78" s="16"/>
      <c r="D78" s="16"/>
      <c r="E78" s="18"/>
      <c r="F78" s="18"/>
      <c r="G78" s="15" t="str">
        <f t="shared" si="7"/>
        <v/>
      </c>
      <c r="H78" s="16"/>
      <c r="I78" s="17" t="str">
        <f>IF(H78&lt;&gt;"",H78,IF(G78="","",ROUND(G78*IFERROR(INDEX(Reference!$B$44:$B$50,MATCH(C78,Reference!$A$44:$A$50,0)),0),0)))</f>
        <v/>
      </c>
      <c r="J78" s="16"/>
      <c r="K78" s="16"/>
      <c r="L78" s="17" t="str">
        <f t="shared" si="8"/>
        <v/>
      </c>
      <c r="M78" s="17" t="str">
        <f>IFERROR(INDEX(Roster!$D$5:$D$40,MATCH(B78,Roster!$A$5:$A$40,0)),"")</f>
        <v/>
      </c>
      <c r="N78" s="17" t="str">
        <f t="shared" si="9"/>
        <v/>
      </c>
      <c r="O78" s="17" t="str">
        <f>IF(OR(C78="Bullpen",C78="Game"),IFERROR(INDEX(Reference!$B$61:$B$62,MATCH(C78,Reference!$A$61:$A$62,0)),""),IF(D78="","",VLOOKUP(D78,Reference!$A$6:$B$11,2,TRUE())))</f>
        <v/>
      </c>
      <c r="P78" s="17" t="str">
        <f>IF(N78="","",VLOOKUP(MAX(N78,0),Reference!$A$17:$B$20,2,TRUE()))</f>
        <v/>
      </c>
      <c r="Q78" s="17" t="str">
        <f>IF(AND(OR(I78="",O78="",P78=""),OR(R78="",W78=""),OR(X78="",AC78="")),"",IF(OR(I78="",O78="",P78=""),0,I78*O78*P78)+IF(OR(R78="",W78=""),0,R78*IFERROR(INDEX(Reference!$B$61:$B$62,MATCH("Bullpen",Reference!$A$61:$A$62,0)),0)*W78)+IF(OR(X78="",AC78=""),0,X78*VLOOKUP(60,Reference!$A$6:$B$11,2,TRUE())*AC78))</f>
        <v/>
      </c>
      <c r="R78" s="16"/>
      <c r="S78" s="16"/>
      <c r="T78" s="16"/>
      <c r="U78" s="17" t="str">
        <f t="shared" si="10"/>
        <v/>
      </c>
      <c r="V78" s="17" t="str">
        <f t="shared" si="11"/>
        <v/>
      </c>
      <c r="W78" s="17" t="str">
        <f>IF(V78="","",VLOOKUP(MAX(V78,0),Reference!$A$17:$B$20,2,TRUE()))</f>
        <v/>
      </c>
      <c r="X78" s="16"/>
      <c r="Y78" s="16"/>
      <c r="Z78" s="16"/>
      <c r="AA78" s="17" t="str">
        <f t="shared" si="12"/>
        <v/>
      </c>
      <c r="AB78" s="17" t="str">
        <f t="shared" si="13"/>
        <v/>
      </c>
      <c r="AC78" s="17" t="str">
        <f>IF(AB78="","",VLOOKUP(MAX(AB78,0),Reference!$A$17:$B$20,2,TRUE()))</f>
        <v/>
      </c>
      <c r="AD78" s="16"/>
    </row>
    <row r="79" spans="1:30" x14ac:dyDescent="0.3">
      <c r="A79" s="19"/>
      <c r="B79" s="16"/>
      <c r="C79" s="16"/>
      <c r="D79" s="16"/>
      <c r="E79" s="18"/>
      <c r="F79" s="18"/>
      <c r="G79" s="15" t="str">
        <f t="shared" si="7"/>
        <v/>
      </c>
      <c r="H79" s="16"/>
      <c r="I79" s="17" t="str">
        <f>IF(H79&lt;&gt;"",H79,IF(G79="","",ROUND(G79*IFERROR(INDEX(Reference!$B$44:$B$50,MATCH(C79,Reference!$A$44:$A$50,0)),0),0)))</f>
        <v/>
      </c>
      <c r="J79" s="16"/>
      <c r="K79" s="16"/>
      <c r="L79" s="17" t="str">
        <f t="shared" si="8"/>
        <v/>
      </c>
      <c r="M79" s="17" t="str">
        <f>IFERROR(INDEX(Roster!$D$5:$D$40,MATCH(B79,Roster!$A$5:$A$40,0)),"")</f>
        <v/>
      </c>
      <c r="N79" s="17" t="str">
        <f t="shared" si="9"/>
        <v/>
      </c>
      <c r="O79" s="17" t="str">
        <f>IF(OR(C79="Bullpen",C79="Game"),IFERROR(INDEX(Reference!$B$61:$B$62,MATCH(C79,Reference!$A$61:$A$62,0)),""),IF(D79="","",VLOOKUP(D79,Reference!$A$6:$B$11,2,TRUE())))</f>
        <v/>
      </c>
      <c r="P79" s="17" t="str">
        <f>IF(N79="","",VLOOKUP(MAX(N79,0),Reference!$A$17:$B$20,2,TRUE()))</f>
        <v/>
      </c>
      <c r="Q79" s="17" t="str">
        <f>IF(AND(OR(I79="",O79="",P79=""),OR(R79="",W79=""),OR(X79="",AC79="")),"",IF(OR(I79="",O79="",P79=""),0,I79*O79*P79)+IF(OR(R79="",W79=""),0,R79*IFERROR(INDEX(Reference!$B$61:$B$62,MATCH("Bullpen",Reference!$A$61:$A$62,0)),0)*W79)+IF(OR(X79="",AC79=""),0,X79*VLOOKUP(60,Reference!$A$6:$B$11,2,TRUE())*AC79))</f>
        <v/>
      </c>
      <c r="R79" s="16"/>
      <c r="S79" s="16"/>
      <c r="T79" s="16"/>
      <c r="U79" s="17" t="str">
        <f t="shared" si="10"/>
        <v/>
      </c>
      <c r="V79" s="17" t="str">
        <f t="shared" si="11"/>
        <v/>
      </c>
      <c r="W79" s="17" t="str">
        <f>IF(V79="","",VLOOKUP(MAX(V79,0),Reference!$A$17:$B$20,2,TRUE()))</f>
        <v/>
      </c>
      <c r="X79" s="16"/>
      <c r="Y79" s="16"/>
      <c r="Z79" s="16"/>
      <c r="AA79" s="17" t="str">
        <f t="shared" si="12"/>
        <v/>
      </c>
      <c r="AB79" s="17" t="str">
        <f t="shared" si="13"/>
        <v/>
      </c>
      <c r="AC79" s="17" t="str">
        <f>IF(AB79="","",VLOOKUP(MAX(AB79,0),Reference!$A$17:$B$20,2,TRUE()))</f>
        <v/>
      </c>
      <c r="AD79" s="16"/>
    </row>
    <row r="80" spans="1:30" x14ac:dyDescent="0.3">
      <c r="A80" s="19"/>
      <c r="B80" s="16"/>
      <c r="C80" s="16"/>
      <c r="D80" s="16"/>
      <c r="E80" s="18"/>
      <c r="F80" s="18"/>
      <c r="G80" s="15" t="str">
        <f t="shared" si="7"/>
        <v/>
      </c>
      <c r="H80" s="16"/>
      <c r="I80" s="17" t="str">
        <f>IF(H80&lt;&gt;"",H80,IF(G80="","",ROUND(G80*IFERROR(INDEX(Reference!$B$44:$B$50,MATCH(C80,Reference!$A$44:$A$50,0)),0),0)))</f>
        <v/>
      </c>
      <c r="J80" s="16"/>
      <c r="K80" s="16"/>
      <c r="L80" s="17" t="str">
        <f t="shared" si="8"/>
        <v/>
      </c>
      <c r="M80" s="17" t="str">
        <f>IFERROR(INDEX(Roster!$D$5:$D$40,MATCH(B80,Roster!$A$5:$A$40,0)),"")</f>
        <v/>
      </c>
      <c r="N80" s="17" t="str">
        <f t="shared" si="9"/>
        <v/>
      </c>
      <c r="O80" s="17" t="str">
        <f>IF(OR(C80="Bullpen",C80="Game"),IFERROR(INDEX(Reference!$B$61:$B$62,MATCH(C80,Reference!$A$61:$A$62,0)),""),IF(D80="","",VLOOKUP(D80,Reference!$A$6:$B$11,2,TRUE())))</f>
        <v/>
      </c>
      <c r="P80" s="17" t="str">
        <f>IF(N80="","",VLOOKUP(MAX(N80,0),Reference!$A$17:$B$20,2,TRUE()))</f>
        <v/>
      </c>
      <c r="Q80" s="17" t="str">
        <f>IF(AND(OR(I80="",O80="",P80=""),OR(R80="",W80=""),OR(X80="",AC80="")),"",IF(OR(I80="",O80="",P80=""),0,I80*O80*P80)+IF(OR(R80="",W80=""),0,R80*IFERROR(INDEX(Reference!$B$61:$B$62,MATCH("Bullpen",Reference!$A$61:$A$62,0)),0)*W80)+IF(OR(X80="",AC80=""),0,X80*VLOOKUP(60,Reference!$A$6:$B$11,2,TRUE())*AC80))</f>
        <v/>
      </c>
      <c r="R80" s="16"/>
      <c r="S80" s="16"/>
      <c r="T80" s="16"/>
      <c r="U80" s="17" t="str">
        <f t="shared" si="10"/>
        <v/>
      </c>
      <c r="V80" s="17" t="str">
        <f t="shared" si="11"/>
        <v/>
      </c>
      <c r="W80" s="17" t="str">
        <f>IF(V80="","",VLOOKUP(MAX(V80,0),Reference!$A$17:$B$20,2,TRUE()))</f>
        <v/>
      </c>
      <c r="X80" s="16"/>
      <c r="Y80" s="16"/>
      <c r="Z80" s="16"/>
      <c r="AA80" s="17" t="str">
        <f t="shared" si="12"/>
        <v/>
      </c>
      <c r="AB80" s="17" t="str">
        <f t="shared" si="13"/>
        <v/>
      </c>
      <c r="AC80" s="17" t="str">
        <f>IF(AB80="","",VLOOKUP(MAX(AB80,0),Reference!$A$17:$B$20,2,TRUE()))</f>
        <v/>
      </c>
      <c r="AD80" s="16"/>
    </row>
    <row r="81" spans="1:30" x14ac:dyDescent="0.3">
      <c r="A81" s="19"/>
      <c r="B81" s="16"/>
      <c r="C81" s="16"/>
      <c r="D81" s="16"/>
      <c r="E81" s="18"/>
      <c r="F81" s="18"/>
      <c r="G81" s="15" t="str">
        <f t="shared" si="7"/>
        <v/>
      </c>
      <c r="H81" s="16"/>
      <c r="I81" s="17" t="str">
        <f>IF(H81&lt;&gt;"",H81,IF(G81="","",ROUND(G81*IFERROR(INDEX(Reference!$B$44:$B$50,MATCH(C81,Reference!$A$44:$A$50,0)),0),0)))</f>
        <v/>
      </c>
      <c r="J81" s="16"/>
      <c r="K81" s="16"/>
      <c r="L81" s="17" t="str">
        <f t="shared" si="8"/>
        <v/>
      </c>
      <c r="M81" s="17" t="str">
        <f>IFERROR(INDEX(Roster!$D$5:$D$40,MATCH(B81,Roster!$A$5:$A$40,0)),"")</f>
        <v/>
      </c>
      <c r="N81" s="17" t="str">
        <f t="shared" si="9"/>
        <v/>
      </c>
      <c r="O81" s="17" t="str">
        <f>IF(OR(C81="Bullpen",C81="Game"),IFERROR(INDEX(Reference!$B$61:$B$62,MATCH(C81,Reference!$A$61:$A$62,0)),""),IF(D81="","",VLOOKUP(D81,Reference!$A$6:$B$11,2,TRUE())))</f>
        <v/>
      </c>
      <c r="P81" s="17" t="str">
        <f>IF(N81="","",VLOOKUP(MAX(N81,0),Reference!$A$17:$B$20,2,TRUE()))</f>
        <v/>
      </c>
      <c r="Q81" s="17" t="str">
        <f>IF(AND(OR(I81="",O81="",P81=""),OR(R81="",W81=""),OR(X81="",AC81="")),"",IF(OR(I81="",O81="",P81=""),0,I81*O81*P81)+IF(OR(R81="",W81=""),0,R81*IFERROR(INDEX(Reference!$B$61:$B$62,MATCH("Bullpen",Reference!$A$61:$A$62,0)),0)*W81)+IF(OR(X81="",AC81=""),0,X81*VLOOKUP(60,Reference!$A$6:$B$11,2,TRUE())*AC81))</f>
        <v/>
      </c>
      <c r="R81" s="16"/>
      <c r="S81" s="16"/>
      <c r="T81" s="16"/>
      <c r="U81" s="17" t="str">
        <f t="shared" si="10"/>
        <v/>
      </c>
      <c r="V81" s="17" t="str">
        <f t="shared" si="11"/>
        <v/>
      </c>
      <c r="W81" s="17" t="str">
        <f>IF(V81="","",VLOOKUP(MAX(V81,0),Reference!$A$17:$B$20,2,TRUE()))</f>
        <v/>
      </c>
      <c r="X81" s="16"/>
      <c r="Y81" s="16"/>
      <c r="Z81" s="16"/>
      <c r="AA81" s="17" t="str">
        <f t="shared" si="12"/>
        <v/>
      </c>
      <c r="AB81" s="17" t="str">
        <f t="shared" si="13"/>
        <v/>
      </c>
      <c r="AC81" s="17" t="str">
        <f>IF(AB81="","",VLOOKUP(MAX(AB81,0),Reference!$A$17:$B$20,2,TRUE()))</f>
        <v/>
      </c>
      <c r="AD81" s="16"/>
    </row>
    <row r="82" spans="1:30" x14ac:dyDescent="0.3">
      <c r="A82" s="19"/>
      <c r="B82" s="16"/>
      <c r="C82" s="16"/>
      <c r="D82" s="16"/>
      <c r="E82" s="18"/>
      <c r="F82" s="18"/>
      <c r="G82" s="15" t="str">
        <f t="shared" si="7"/>
        <v/>
      </c>
      <c r="H82" s="16"/>
      <c r="I82" s="17" t="str">
        <f>IF(H82&lt;&gt;"",H82,IF(G82="","",ROUND(G82*IFERROR(INDEX(Reference!$B$44:$B$50,MATCH(C82,Reference!$A$44:$A$50,0)),0),0)))</f>
        <v/>
      </c>
      <c r="J82" s="16"/>
      <c r="K82" s="16"/>
      <c r="L82" s="17" t="str">
        <f t="shared" si="8"/>
        <v/>
      </c>
      <c r="M82" s="17" t="str">
        <f>IFERROR(INDEX(Roster!$D$5:$D$40,MATCH(B82,Roster!$A$5:$A$40,0)),"")</f>
        <v/>
      </c>
      <c r="N82" s="17" t="str">
        <f t="shared" si="9"/>
        <v/>
      </c>
      <c r="O82" s="17" t="str">
        <f>IF(OR(C82="Bullpen",C82="Game"),IFERROR(INDEX(Reference!$B$61:$B$62,MATCH(C82,Reference!$A$61:$A$62,0)),""),IF(D82="","",VLOOKUP(D82,Reference!$A$6:$B$11,2,TRUE())))</f>
        <v/>
      </c>
      <c r="P82" s="17" t="str">
        <f>IF(N82="","",VLOOKUP(MAX(N82,0),Reference!$A$17:$B$20,2,TRUE()))</f>
        <v/>
      </c>
      <c r="Q82" s="17" t="str">
        <f>IF(AND(OR(I82="",O82="",P82=""),OR(R82="",W82=""),OR(X82="",AC82="")),"",IF(OR(I82="",O82="",P82=""),0,I82*O82*P82)+IF(OR(R82="",W82=""),0,R82*IFERROR(INDEX(Reference!$B$61:$B$62,MATCH("Bullpen",Reference!$A$61:$A$62,0)),0)*W82)+IF(OR(X82="",AC82=""),0,X82*VLOOKUP(60,Reference!$A$6:$B$11,2,TRUE())*AC82))</f>
        <v/>
      </c>
      <c r="R82" s="16"/>
      <c r="S82" s="16"/>
      <c r="T82" s="16"/>
      <c r="U82" s="17" t="str">
        <f t="shared" si="10"/>
        <v/>
      </c>
      <c r="V82" s="17" t="str">
        <f t="shared" si="11"/>
        <v/>
      </c>
      <c r="W82" s="17" t="str">
        <f>IF(V82="","",VLOOKUP(MAX(V82,0),Reference!$A$17:$B$20,2,TRUE()))</f>
        <v/>
      </c>
      <c r="X82" s="16"/>
      <c r="Y82" s="16"/>
      <c r="Z82" s="16"/>
      <c r="AA82" s="17" t="str">
        <f t="shared" si="12"/>
        <v/>
      </c>
      <c r="AB82" s="17" t="str">
        <f t="shared" si="13"/>
        <v/>
      </c>
      <c r="AC82" s="17" t="str">
        <f>IF(AB82="","",VLOOKUP(MAX(AB82,0),Reference!$A$17:$B$20,2,TRUE()))</f>
        <v/>
      </c>
      <c r="AD82" s="16"/>
    </row>
    <row r="83" spans="1:30" x14ac:dyDescent="0.3">
      <c r="A83" s="19"/>
      <c r="B83" s="16"/>
      <c r="C83" s="16"/>
      <c r="D83" s="16"/>
      <c r="E83" s="18"/>
      <c r="F83" s="18"/>
      <c r="G83" s="15" t="str">
        <f t="shared" si="7"/>
        <v/>
      </c>
      <c r="H83" s="16"/>
      <c r="I83" s="17" t="str">
        <f>IF(H83&lt;&gt;"",H83,IF(G83="","",ROUND(G83*IFERROR(INDEX(Reference!$B$44:$B$50,MATCH(C83,Reference!$A$44:$A$50,0)),0),0)))</f>
        <v/>
      </c>
      <c r="J83" s="16"/>
      <c r="K83" s="16"/>
      <c r="L83" s="17" t="str">
        <f t="shared" si="8"/>
        <v/>
      </c>
      <c r="M83" s="17" t="str">
        <f>IFERROR(INDEX(Roster!$D$5:$D$40,MATCH(B83,Roster!$A$5:$A$40,0)),"")</f>
        <v/>
      </c>
      <c r="N83" s="17" t="str">
        <f t="shared" si="9"/>
        <v/>
      </c>
      <c r="O83" s="17" t="str">
        <f>IF(OR(C83="Bullpen",C83="Game"),IFERROR(INDEX(Reference!$B$61:$B$62,MATCH(C83,Reference!$A$61:$A$62,0)),""),IF(D83="","",VLOOKUP(D83,Reference!$A$6:$B$11,2,TRUE())))</f>
        <v/>
      </c>
      <c r="P83" s="17" t="str">
        <f>IF(N83="","",VLOOKUP(MAX(N83,0),Reference!$A$17:$B$20,2,TRUE()))</f>
        <v/>
      </c>
      <c r="Q83" s="17" t="str">
        <f>IF(AND(OR(I83="",O83="",P83=""),OR(R83="",W83=""),OR(X83="",AC83="")),"",IF(OR(I83="",O83="",P83=""),0,I83*O83*P83)+IF(OR(R83="",W83=""),0,R83*IFERROR(INDEX(Reference!$B$61:$B$62,MATCH("Bullpen",Reference!$A$61:$A$62,0)),0)*W83)+IF(OR(X83="",AC83=""),0,X83*VLOOKUP(60,Reference!$A$6:$B$11,2,TRUE())*AC83))</f>
        <v/>
      </c>
      <c r="R83" s="16"/>
      <c r="S83" s="16"/>
      <c r="T83" s="16"/>
      <c r="U83" s="17" t="str">
        <f t="shared" si="10"/>
        <v/>
      </c>
      <c r="V83" s="17" t="str">
        <f t="shared" si="11"/>
        <v/>
      </c>
      <c r="W83" s="17" t="str">
        <f>IF(V83="","",VLOOKUP(MAX(V83,0),Reference!$A$17:$B$20,2,TRUE()))</f>
        <v/>
      </c>
      <c r="X83" s="16"/>
      <c r="Y83" s="16"/>
      <c r="Z83" s="16"/>
      <c r="AA83" s="17" t="str">
        <f t="shared" si="12"/>
        <v/>
      </c>
      <c r="AB83" s="17" t="str">
        <f t="shared" si="13"/>
        <v/>
      </c>
      <c r="AC83" s="17" t="str">
        <f>IF(AB83="","",VLOOKUP(MAX(AB83,0),Reference!$A$17:$B$20,2,TRUE()))</f>
        <v/>
      </c>
      <c r="AD83" s="16"/>
    </row>
    <row r="84" spans="1:30" x14ac:dyDescent="0.3">
      <c r="A84" s="19"/>
      <c r="B84" s="16"/>
      <c r="C84" s="16"/>
      <c r="D84" s="16"/>
      <c r="E84" s="18"/>
      <c r="F84" s="18"/>
      <c r="G84" s="15" t="str">
        <f t="shared" si="7"/>
        <v/>
      </c>
      <c r="H84" s="16"/>
      <c r="I84" s="17" t="str">
        <f>IF(H84&lt;&gt;"",H84,IF(G84="","",ROUND(G84*IFERROR(INDEX(Reference!$B$44:$B$50,MATCH(C84,Reference!$A$44:$A$50,0)),0),0)))</f>
        <v/>
      </c>
      <c r="J84" s="16"/>
      <c r="K84" s="16"/>
      <c r="L84" s="17" t="str">
        <f t="shared" si="8"/>
        <v/>
      </c>
      <c r="M84" s="17" t="str">
        <f>IFERROR(INDEX(Roster!$D$5:$D$40,MATCH(B84,Roster!$A$5:$A$40,0)),"")</f>
        <v/>
      </c>
      <c r="N84" s="17" t="str">
        <f t="shared" si="9"/>
        <v/>
      </c>
      <c r="O84" s="17" t="str">
        <f>IF(OR(C84="Bullpen",C84="Game"),IFERROR(INDEX(Reference!$B$61:$B$62,MATCH(C84,Reference!$A$61:$A$62,0)),""),IF(D84="","",VLOOKUP(D84,Reference!$A$6:$B$11,2,TRUE())))</f>
        <v/>
      </c>
      <c r="P84" s="17" t="str">
        <f>IF(N84="","",VLOOKUP(MAX(N84,0),Reference!$A$17:$B$20,2,TRUE()))</f>
        <v/>
      </c>
      <c r="Q84" s="17" t="str">
        <f>IF(AND(OR(I84="",O84="",P84=""),OR(R84="",W84=""),OR(X84="",AC84="")),"",IF(OR(I84="",O84="",P84=""),0,I84*O84*P84)+IF(OR(R84="",W84=""),0,R84*IFERROR(INDEX(Reference!$B$61:$B$62,MATCH("Bullpen",Reference!$A$61:$A$62,0)),0)*W84)+IF(OR(X84="",AC84=""),0,X84*VLOOKUP(60,Reference!$A$6:$B$11,2,TRUE())*AC84))</f>
        <v/>
      </c>
      <c r="R84" s="16"/>
      <c r="S84" s="16"/>
      <c r="T84" s="16"/>
      <c r="U84" s="17" t="str">
        <f t="shared" si="10"/>
        <v/>
      </c>
      <c r="V84" s="17" t="str">
        <f t="shared" si="11"/>
        <v/>
      </c>
      <c r="W84" s="17" t="str">
        <f>IF(V84="","",VLOOKUP(MAX(V84,0),Reference!$A$17:$B$20,2,TRUE()))</f>
        <v/>
      </c>
      <c r="X84" s="16"/>
      <c r="Y84" s="16"/>
      <c r="Z84" s="16"/>
      <c r="AA84" s="17" t="str">
        <f t="shared" si="12"/>
        <v/>
      </c>
      <c r="AB84" s="17" t="str">
        <f t="shared" si="13"/>
        <v/>
      </c>
      <c r="AC84" s="17" t="str">
        <f>IF(AB84="","",VLOOKUP(MAX(AB84,0),Reference!$A$17:$B$20,2,TRUE()))</f>
        <v/>
      </c>
      <c r="AD84" s="16"/>
    </row>
    <row r="85" spans="1:30" x14ac:dyDescent="0.3">
      <c r="A85" s="19"/>
      <c r="B85" s="16"/>
      <c r="C85" s="16"/>
      <c r="D85" s="16"/>
      <c r="E85" s="18"/>
      <c r="F85" s="18"/>
      <c r="G85" s="15" t="str">
        <f t="shared" si="7"/>
        <v/>
      </c>
      <c r="H85" s="16"/>
      <c r="I85" s="17" t="str">
        <f>IF(H85&lt;&gt;"",H85,IF(G85="","",ROUND(G85*IFERROR(INDEX(Reference!$B$44:$B$50,MATCH(C85,Reference!$A$44:$A$50,0)),0),0)))</f>
        <v/>
      </c>
      <c r="J85" s="16"/>
      <c r="K85" s="16"/>
      <c r="L85" s="17" t="str">
        <f t="shared" si="8"/>
        <v/>
      </c>
      <c r="M85" s="17" t="str">
        <f>IFERROR(INDEX(Roster!$D$5:$D$40,MATCH(B85,Roster!$A$5:$A$40,0)),"")</f>
        <v/>
      </c>
      <c r="N85" s="17" t="str">
        <f t="shared" si="9"/>
        <v/>
      </c>
      <c r="O85" s="17" t="str">
        <f>IF(OR(C85="Bullpen",C85="Game"),IFERROR(INDEX(Reference!$B$61:$B$62,MATCH(C85,Reference!$A$61:$A$62,0)),""),IF(D85="","",VLOOKUP(D85,Reference!$A$6:$B$11,2,TRUE())))</f>
        <v/>
      </c>
      <c r="P85" s="17" t="str">
        <f>IF(N85="","",VLOOKUP(MAX(N85,0),Reference!$A$17:$B$20,2,TRUE()))</f>
        <v/>
      </c>
      <c r="Q85" s="17" t="str">
        <f>IF(AND(OR(I85="",O85="",P85=""),OR(R85="",W85=""),OR(X85="",AC85="")),"",IF(OR(I85="",O85="",P85=""),0,I85*O85*P85)+IF(OR(R85="",W85=""),0,R85*IFERROR(INDEX(Reference!$B$61:$B$62,MATCH("Bullpen",Reference!$A$61:$A$62,0)),0)*W85)+IF(OR(X85="",AC85=""),0,X85*VLOOKUP(60,Reference!$A$6:$B$11,2,TRUE())*AC85))</f>
        <v/>
      </c>
      <c r="R85" s="16"/>
      <c r="S85" s="16"/>
      <c r="T85" s="16"/>
      <c r="U85" s="17" t="str">
        <f t="shared" si="10"/>
        <v/>
      </c>
      <c r="V85" s="17" t="str">
        <f t="shared" si="11"/>
        <v/>
      </c>
      <c r="W85" s="17" t="str">
        <f>IF(V85="","",VLOOKUP(MAX(V85,0),Reference!$A$17:$B$20,2,TRUE()))</f>
        <v/>
      </c>
      <c r="X85" s="16"/>
      <c r="Y85" s="16"/>
      <c r="Z85" s="16"/>
      <c r="AA85" s="17" t="str">
        <f t="shared" si="12"/>
        <v/>
      </c>
      <c r="AB85" s="17" t="str">
        <f t="shared" si="13"/>
        <v/>
      </c>
      <c r="AC85" s="17" t="str">
        <f>IF(AB85="","",VLOOKUP(MAX(AB85,0),Reference!$A$17:$B$20,2,TRUE()))</f>
        <v/>
      </c>
      <c r="AD85" s="16"/>
    </row>
    <row r="86" spans="1:30" x14ac:dyDescent="0.3">
      <c r="A86" s="19"/>
      <c r="B86" s="16"/>
      <c r="C86" s="16"/>
      <c r="D86" s="16"/>
      <c r="E86" s="18"/>
      <c r="F86" s="18"/>
      <c r="G86" s="15" t="str">
        <f t="shared" si="7"/>
        <v/>
      </c>
      <c r="H86" s="16"/>
      <c r="I86" s="17" t="str">
        <f>IF(H86&lt;&gt;"",H86,IF(G86="","",ROUND(G86*IFERROR(INDEX(Reference!$B$44:$B$50,MATCH(C86,Reference!$A$44:$A$50,0)),0),0)))</f>
        <v/>
      </c>
      <c r="J86" s="16"/>
      <c r="K86" s="16"/>
      <c r="L86" s="17" t="str">
        <f t="shared" si="8"/>
        <v/>
      </c>
      <c r="M86" s="17" t="str">
        <f>IFERROR(INDEX(Roster!$D$5:$D$40,MATCH(B86,Roster!$A$5:$A$40,0)),"")</f>
        <v/>
      </c>
      <c r="N86" s="17" t="str">
        <f t="shared" si="9"/>
        <v/>
      </c>
      <c r="O86" s="17" t="str">
        <f>IF(OR(C86="Bullpen",C86="Game"),IFERROR(INDEX(Reference!$B$61:$B$62,MATCH(C86,Reference!$A$61:$A$62,0)),""),IF(D86="","",VLOOKUP(D86,Reference!$A$6:$B$11,2,TRUE())))</f>
        <v/>
      </c>
      <c r="P86" s="17" t="str">
        <f>IF(N86="","",VLOOKUP(MAX(N86,0),Reference!$A$17:$B$20,2,TRUE()))</f>
        <v/>
      </c>
      <c r="Q86" s="17" t="str">
        <f>IF(AND(OR(I86="",O86="",P86=""),OR(R86="",W86=""),OR(X86="",AC86="")),"",IF(OR(I86="",O86="",P86=""),0,I86*O86*P86)+IF(OR(R86="",W86=""),0,R86*IFERROR(INDEX(Reference!$B$61:$B$62,MATCH("Bullpen",Reference!$A$61:$A$62,0)),0)*W86)+IF(OR(X86="",AC86=""),0,X86*VLOOKUP(60,Reference!$A$6:$B$11,2,TRUE())*AC86))</f>
        <v/>
      </c>
      <c r="R86" s="16"/>
      <c r="S86" s="16"/>
      <c r="T86" s="16"/>
      <c r="U86" s="17" t="str">
        <f t="shared" si="10"/>
        <v/>
      </c>
      <c r="V86" s="17" t="str">
        <f t="shared" si="11"/>
        <v/>
      </c>
      <c r="W86" s="17" t="str">
        <f>IF(V86="","",VLOOKUP(MAX(V86,0),Reference!$A$17:$B$20,2,TRUE()))</f>
        <v/>
      </c>
      <c r="X86" s="16"/>
      <c r="Y86" s="16"/>
      <c r="Z86" s="16"/>
      <c r="AA86" s="17" t="str">
        <f t="shared" si="12"/>
        <v/>
      </c>
      <c r="AB86" s="17" t="str">
        <f t="shared" si="13"/>
        <v/>
      </c>
      <c r="AC86" s="17" t="str">
        <f>IF(AB86="","",VLOOKUP(MAX(AB86,0),Reference!$A$17:$B$20,2,TRUE()))</f>
        <v/>
      </c>
      <c r="AD86" s="16"/>
    </row>
    <row r="87" spans="1:30" x14ac:dyDescent="0.3">
      <c r="A87" s="19"/>
      <c r="B87" s="16"/>
      <c r="C87" s="16"/>
      <c r="D87" s="16"/>
      <c r="E87" s="18"/>
      <c r="F87" s="18"/>
      <c r="G87" s="15" t="str">
        <f t="shared" si="7"/>
        <v/>
      </c>
      <c r="H87" s="16"/>
      <c r="I87" s="17" t="str">
        <f>IF(H87&lt;&gt;"",H87,IF(G87="","",ROUND(G87*IFERROR(INDEX(Reference!$B$44:$B$50,MATCH(C87,Reference!$A$44:$A$50,0)),0),0)))</f>
        <v/>
      </c>
      <c r="J87" s="16"/>
      <c r="K87" s="16"/>
      <c r="L87" s="17" t="str">
        <f t="shared" si="8"/>
        <v/>
      </c>
      <c r="M87" s="17" t="str">
        <f>IFERROR(INDEX(Roster!$D$5:$D$40,MATCH(B87,Roster!$A$5:$A$40,0)),"")</f>
        <v/>
      </c>
      <c r="N87" s="17" t="str">
        <f t="shared" si="9"/>
        <v/>
      </c>
      <c r="O87" s="17" t="str">
        <f>IF(OR(C87="Bullpen",C87="Game"),IFERROR(INDEX(Reference!$B$61:$B$62,MATCH(C87,Reference!$A$61:$A$62,0)),""),IF(D87="","",VLOOKUP(D87,Reference!$A$6:$B$11,2,TRUE())))</f>
        <v/>
      </c>
      <c r="P87" s="17" t="str">
        <f>IF(N87="","",VLOOKUP(MAX(N87,0),Reference!$A$17:$B$20,2,TRUE()))</f>
        <v/>
      </c>
      <c r="Q87" s="17" t="str">
        <f>IF(AND(OR(I87="",O87="",P87=""),OR(R87="",W87=""),OR(X87="",AC87="")),"",IF(OR(I87="",O87="",P87=""),0,I87*O87*P87)+IF(OR(R87="",W87=""),0,R87*IFERROR(INDEX(Reference!$B$61:$B$62,MATCH("Bullpen",Reference!$A$61:$A$62,0)),0)*W87)+IF(OR(X87="",AC87=""),0,X87*VLOOKUP(60,Reference!$A$6:$B$11,2,TRUE())*AC87))</f>
        <v/>
      </c>
      <c r="R87" s="16"/>
      <c r="S87" s="16"/>
      <c r="T87" s="16"/>
      <c r="U87" s="17" t="str">
        <f t="shared" si="10"/>
        <v/>
      </c>
      <c r="V87" s="17" t="str">
        <f t="shared" si="11"/>
        <v/>
      </c>
      <c r="W87" s="17" t="str">
        <f>IF(V87="","",VLOOKUP(MAX(V87,0),Reference!$A$17:$B$20,2,TRUE()))</f>
        <v/>
      </c>
      <c r="X87" s="16"/>
      <c r="Y87" s="16"/>
      <c r="Z87" s="16"/>
      <c r="AA87" s="17" t="str">
        <f t="shared" si="12"/>
        <v/>
      </c>
      <c r="AB87" s="17" t="str">
        <f t="shared" si="13"/>
        <v/>
      </c>
      <c r="AC87" s="17" t="str">
        <f>IF(AB87="","",VLOOKUP(MAX(AB87,0),Reference!$A$17:$B$20,2,TRUE()))</f>
        <v/>
      </c>
      <c r="AD87" s="16"/>
    </row>
    <row r="88" spans="1:30" x14ac:dyDescent="0.3">
      <c r="A88" s="19"/>
      <c r="B88" s="16"/>
      <c r="C88" s="16"/>
      <c r="D88" s="16"/>
      <c r="E88" s="18"/>
      <c r="F88" s="18"/>
      <c r="G88" s="15" t="str">
        <f t="shared" si="7"/>
        <v/>
      </c>
      <c r="H88" s="16"/>
      <c r="I88" s="17" t="str">
        <f>IF(H88&lt;&gt;"",H88,IF(G88="","",ROUND(G88*IFERROR(INDEX(Reference!$B$44:$B$50,MATCH(C88,Reference!$A$44:$A$50,0)),0),0)))</f>
        <v/>
      </c>
      <c r="J88" s="16"/>
      <c r="K88" s="16"/>
      <c r="L88" s="17" t="str">
        <f t="shared" si="8"/>
        <v/>
      </c>
      <c r="M88" s="17" t="str">
        <f>IFERROR(INDEX(Roster!$D$5:$D$40,MATCH(B88,Roster!$A$5:$A$40,0)),"")</f>
        <v/>
      </c>
      <c r="N88" s="17" t="str">
        <f t="shared" si="9"/>
        <v/>
      </c>
      <c r="O88" s="17" t="str">
        <f>IF(OR(C88="Bullpen",C88="Game"),IFERROR(INDEX(Reference!$B$61:$B$62,MATCH(C88,Reference!$A$61:$A$62,0)),""),IF(D88="","",VLOOKUP(D88,Reference!$A$6:$B$11,2,TRUE())))</f>
        <v/>
      </c>
      <c r="P88" s="17" t="str">
        <f>IF(N88="","",VLOOKUP(MAX(N88,0),Reference!$A$17:$B$20,2,TRUE()))</f>
        <v/>
      </c>
      <c r="Q88" s="17" t="str">
        <f>IF(AND(OR(I88="",O88="",P88=""),OR(R88="",W88=""),OR(X88="",AC88="")),"",IF(OR(I88="",O88="",P88=""),0,I88*O88*P88)+IF(OR(R88="",W88=""),0,R88*IFERROR(INDEX(Reference!$B$61:$B$62,MATCH("Bullpen",Reference!$A$61:$A$62,0)),0)*W88)+IF(OR(X88="",AC88=""),0,X88*VLOOKUP(60,Reference!$A$6:$B$11,2,TRUE())*AC88))</f>
        <v/>
      </c>
      <c r="R88" s="16"/>
      <c r="S88" s="16"/>
      <c r="T88" s="16"/>
      <c r="U88" s="17" t="str">
        <f t="shared" si="10"/>
        <v/>
      </c>
      <c r="V88" s="17" t="str">
        <f t="shared" si="11"/>
        <v/>
      </c>
      <c r="W88" s="17" t="str">
        <f>IF(V88="","",VLOOKUP(MAX(V88,0),Reference!$A$17:$B$20,2,TRUE()))</f>
        <v/>
      </c>
      <c r="X88" s="16"/>
      <c r="Y88" s="16"/>
      <c r="Z88" s="16"/>
      <c r="AA88" s="17" t="str">
        <f t="shared" si="12"/>
        <v/>
      </c>
      <c r="AB88" s="17" t="str">
        <f t="shared" si="13"/>
        <v/>
      </c>
      <c r="AC88" s="17" t="str">
        <f>IF(AB88="","",VLOOKUP(MAX(AB88,0),Reference!$A$17:$B$20,2,TRUE()))</f>
        <v/>
      </c>
      <c r="AD88" s="16"/>
    </row>
    <row r="89" spans="1:30" x14ac:dyDescent="0.3">
      <c r="A89" s="19"/>
      <c r="B89" s="16"/>
      <c r="C89" s="16"/>
      <c r="D89" s="16"/>
      <c r="E89" s="18"/>
      <c r="F89" s="18"/>
      <c r="G89" s="15" t="str">
        <f t="shared" si="7"/>
        <v/>
      </c>
      <c r="H89" s="16"/>
      <c r="I89" s="17" t="str">
        <f>IF(H89&lt;&gt;"",H89,IF(G89="","",ROUND(G89*IFERROR(INDEX(Reference!$B$44:$B$50,MATCH(C89,Reference!$A$44:$A$50,0)),0),0)))</f>
        <v/>
      </c>
      <c r="J89" s="16"/>
      <c r="K89" s="16"/>
      <c r="L89" s="17" t="str">
        <f t="shared" si="8"/>
        <v/>
      </c>
      <c r="M89" s="17" t="str">
        <f>IFERROR(INDEX(Roster!$D$5:$D$40,MATCH(B89,Roster!$A$5:$A$40,0)),"")</f>
        <v/>
      </c>
      <c r="N89" s="17" t="str">
        <f t="shared" si="9"/>
        <v/>
      </c>
      <c r="O89" s="17" t="str">
        <f>IF(OR(C89="Bullpen",C89="Game"),IFERROR(INDEX(Reference!$B$61:$B$62,MATCH(C89,Reference!$A$61:$A$62,0)),""),IF(D89="","",VLOOKUP(D89,Reference!$A$6:$B$11,2,TRUE())))</f>
        <v/>
      </c>
      <c r="P89" s="17" t="str">
        <f>IF(N89="","",VLOOKUP(MAX(N89,0),Reference!$A$17:$B$20,2,TRUE()))</f>
        <v/>
      </c>
      <c r="Q89" s="17" t="str">
        <f>IF(AND(OR(I89="",O89="",P89=""),OR(R89="",W89=""),OR(X89="",AC89="")),"",IF(OR(I89="",O89="",P89=""),0,I89*O89*P89)+IF(OR(R89="",W89=""),0,R89*IFERROR(INDEX(Reference!$B$61:$B$62,MATCH("Bullpen",Reference!$A$61:$A$62,0)),0)*W89)+IF(OR(X89="",AC89=""),0,X89*VLOOKUP(60,Reference!$A$6:$B$11,2,TRUE())*AC89))</f>
        <v/>
      </c>
      <c r="R89" s="16"/>
      <c r="S89" s="16"/>
      <c r="T89" s="16"/>
      <c r="U89" s="17" t="str">
        <f t="shared" si="10"/>
        <v/>
      </c>
      <c r="V89" s="17" t="str">
        <f t="shared" si="11"/>
        <v/>
      </c>
      <c r="W89" s="17" t="str">
        <f>IF(V89="","",VLOOKUP(MAX(V89,0),Reference!$A$17:$B$20,2,TRUE()))</f>
        <v/>
      </c>
      <c r="X89" s="16"/>
      <c r="Y89" s="16"/>
      <c r="Z89" s="16"/>
      <c r="AA89" s="17" t="str">
        <f t="shared" si="12"/>
        <v/>
      </c>
      <c r="AB89" s="17" t="str">
        <f t="shared" si="13"/>
        <v/>
      </c>
      <c r="AC89" s="17" t="str">
        <f>IF(AB89="","",VLOOKUP(MAX(AB89,0),Reference!$A$17:$B$20,2,TRUE()))</f>
        <v/>
      </c>
      <c r="AD89" s="16"/>
    </row>
    <row r="90" spans="1:30" x14ac:dyDescent="0.3">
      <c r="A90" s="19"/>
      <c r="B90" s="16"/>
      <c r="C90" s="16"/>
      <c r="D90" s="16"/>
      <c r="E90" s="18"/>
      <c r="F90" s="18"/>
      <c r="G90" s="15" t="str">
        <f t="shared" si="7"/>
        <v/>
      </c>
      <c r="H90" s="16"/>
      <c r="I90" s="17" t="str">
        <f>IF(H90&lt;&gt;"",H90,IF(G90="","",ROUND(G90*IFERROR(INDEX(Reference!$B$44:$B$50,MATCH(C90,Reference!$A$44:$A$50,0)),0),0)))</f>
        <v/>
      </c>
      <c r="J90" s="16"/>
      <c r="K90" s="16"/>
      <c r="L90" s="17" t="str">
        <f t="shared" si="8"/>
        <v/>
      </c>
      <c r="M90" s="17" t="str">
        <f>IFERROR(INDEX(Roster!$D$5:$D$40,MATCH(B90,Roster!$A$5:$A$40,0)),"")</f>
        <v/>
      </c>
      <c r="N90" s="17" t="str">
        <f t="shared" si="9"/>
        <v/>
      </c>
      <c r="O90" s="17" t="str">
        <f>IF(OR(C90="Bullpen",C90="Game"),IFERROR(INDEX(Reference!$B$61:$B$62,MATCH(C90,Reference!$A$61:$A$62,0)),""),IF(D90="","",VLOOKUP(D90,Reference!$A$6:$B$11,2,TRUE())))</f>
        <v/>
      </c>
      <c r="P90" s="17" t="str">
        <f>IF(N90="","",VLOOKUP(MAX(N90,0),Reference!$A$17:$B$20,2,TRUE()))</f>
        <v/>
      </c>
      <c r="Q90" s="17" t="str">
        <f>IF(AND(OR(I90="",O90="",P90=""),OR(R90="",W90=""),OR(X90="",AC90="")),"",IF(OR(I90="",O90="",P90=""),0,I90*O90*P90)+IF(OR(R90="",W90=""),0,R90*IFERROR(INDEX(Reference!$B$61:$B$62,MATCH("Bullpen",Reference!$A$61:$A$62,0)),0)*W90)+IF(OR(X90="",AC90=""),0,X90*VLOOKUP(60,Reference!$A$6:$B$11,2,TRUE())*AC90))</f>
        <v/>
      </c>
      <c r="R90" s="16"/>
      <c r="S90" s="16"/>
      <c r="T90" s="16"/>
      <c r="U90" s="17" t="str">
        <f t="shared" si="10"/>
        <v/>
      </c>
      <c r="V90" s="17" t="str">
        <f t="shared" si="11"/>
        <v/>
      </c>
      <c r="W90" s="17" t="str">
        <f>IF(V90="","",VLOOKUP(MAX(V90,0),Reference!$A$17:$B$20,2,TRUE()))</f>
        <v/>
      </c>
      <c r="X90" s="16"/>
      <c r="Y90" s="16"/>
      <c r="Z90" s="16"/>
      <c r="AA90" s="17" t="str">
        <f t="shared" si="12"/>
        <v/>
      </c>
      <c r="AB90" s="17" t="str">
        <f t="shared" si="13"/>
        <v/>
      </c>
      <c r="AC90" s="17" t="str">
        <f>IF(AB90="","",VLOOKUP(MAX(AB90,0),Reference!$A$17:$B$20,2,TRUE()))</f>
        <v/>
      </c>
      <c r="AD90" s="16"/>
    </row>
    <row r="91" spans="1:30" x14ac:dyDescent="0.3">
      <c r="A91" s="19"/>
      <c r="B91" s="16"/>
      <c r="C91" s="16"/>
      <c r="D91" s="16"/>
      <c r="E91" s="18"/>
      <c r="F91" s="18"/>
      <c r="G91" s="15" t="str">
        <f t="shared" si="7"/>
        <v/>
      </c>
      <c r="H91" s="16"/>
      <c r="I91" s="17" t="str">
        <f>IF(H91&lt;&gt;"",H91,IF(G91="","",ROUND(G91*IFERROR(INDEX(Reference!$B$44:$B$50,MATCH(C91,Reference!$A$44:$A$50,0)),0),0)))</f>
        <v/>
      </c>
      <c r="J91" s="16"/>
      <c r="K91" s="16"/>
      <c r="L91" s="17" t="str">
        <f t="shared" si="8"/>
        <v/>
      </c>
      <c r="M91" s="17" t="str">
        <f>IFERROR(INDEX(Roster!$D$5:$D$40,MATCH(B91,Roster!$A$5:$A$40,0)),"")</f>
        <v/>
      </c>
      <c r="N91" s="17" t="str">
        <f t="shared" si="9"/>
        <v/>
      </c>
      <c r="O91" s="17" t="str">
        <f>IF(OR(C91="Bullpen",C91="Game"),IFERROR(INDEX(Reference!$B$61:$B$62,MATCH(C91,Reference!$A$61:$A$62,0)),""),IF(D91="","",VLOOKUP(D91,Reference!$A$6:$B$11,2,TRUE())))</f>
        <v/>
      </c>
      <c r="P91" s="17" t="str">
        <f>IF(N91="","",VLOOKUP(MAX(N91,0),Reference!$A$17:$B$20,2,TRUE()))</f>
        <v/>
      </c>
      <c r="Q91" s="17" t="str">
        <f>IF(AND(OR(I91="",O91="",P91=""),OR(R91="",W91=""),OR(X91="",AC91="")),"",IF(OR(I91="",O91="",P91=""),0,I91*O91*P91)+IF(OR(R91="",W91=""),0,R91*IFERROR(INDEX(Reference!$B$61:$B$62,MATCH("Bullpen",Reference!$A$61:$A$62,0)),0)*W91)+IF(OR(X91="",AC91=""),0,X91*VLOOKUP(60,Reference!$A$6:$B$11,2,TRUE())*AC91))</f>
        <v/>
      </c>
      <c r="R91" s="16"/>
      <c r="S91" s="16"/>
      <c r="T91" s="16"/>
      <c r="U91" s="17" t="str">
        <f t="shared" si="10"/>
        <v/>
      </c>
      <c r="V91" s="17" t="str">
        <f t="shared" si="11"/>
        <v/>
      </c>
      <c r="W91" s="17" t="str">
        <f>IF(V91="","",VLOOKUP(MAX(V91,0),Reference!$A$17:$B$20,2,TRUE()))</f>
        <v/>
      </c>
      <c r="X91" s="16"/>
      <c r="Y91" s="16"/>
      <c r="Z91" s="16"/>
      <c r="AA91" s="17" t="str">
        <f t="shared" si="12"/>
        <v/>
      </c>
      <c r="AB91" s="17" t="str">
        <f t="shared" si="13"/>
        <v/>
      </c>
      <c r="AC91" s="17" t="str">
        <f>IF(AB91="","",VLOOKUP(MAX(AB91,0),Reference!$A$17:$B$20,2,TRUE()))</f>
        <v/>
      </c>
      <c r="AD91" s="16"/>
    </row>
    <row r="92" spans="1:30" x14ac:dyDescent="0.3">
      <c r="A92" s="19"/>
      <c r="B92" s="16"/>
      <c r="C92" s="16"/>
      <c r="D92" s="16"/>
      <c r="E92" s="18"/>
      <c r="F92" s="18"/>
      <c r="G92" s="15" t="str">
        <f t="shared" si="7"/>
        <v/>
      </c>
      <c r="H92" s="16"/>
      <c r="I92" s="17" t="str">
        <f>IF(H92&lt;&gt;"",H92,IF(G92="","",ROUND(G92*IFERROR(INDEX(Reference!$B$44:$B$50,MATCH(C92,Reference!$A$44:$A$50,0)),0),0)))</f>
        <v/>
      </c>
      <c r="J92" s="16"/>
      <c r="K92" s="16"/>
      <c r="L92" s="17" t="str">
        <f t="shared" si="8"/>
        <v/>
      </c>
      <c r="M92" s="17" t="str">
        <f>IFERROR(INDEX(Roster!$D$5:$D$40,MATCH(B92,Roster!$A$5:$A$40,0)),"")</f>
        <v/>
      </c>
      <c r="N92" s="17" t="str">
        <f t="shared" si="9"/>
        <v/>
      </c>
      <c r="O92" s="17" t="str">
        <f>IF(OR(C92="Bullpen",C92="Game"),IFERROR(INDEX(Reference!$B$61:$B$62,MATCH(C92,Reference!$A$61:$A$62,0)),""),IF(D92="","",VLOOKUP(D92,Reference!$A$6:$B$11,2,TRUE())))</f>
        <v/>
      </c>
      <c r="P92" s="17" t="str">
        <f>IF(N92="","",VLOOKUP(MAX(N92,0),Reference!$A$17:$B$20,2,TRUE()))</f>
        <v/>
      </c>
      <c r="Q92" s="17" t="str">
        <f>IF(AND(OR(I92="",O92="",P92=""),OR(R92="",W92=""),OR(X92="",AC92="")),"",IF(OR(I92="",O92="",P92=""),0,I92*O92*P92)+IF(OR(R92="",W92=""),0,R92*IFERROR(INDEX(Reference!$B$61:$B$62,MATCH("Bullpen",Reference!$A$61:$A$62,0)),0)*W92)+IF(OR(X92="",AC92=""),0,X92*VLOOKUP(60,Reference!$A$6:$B$11,2,TRUE())*AC92))</f>
        <v/>
      </c>
      <c r="R92" s="16"/>
      <c r="S92" s="16"/>
      <c r="T92" s="16"/>
      <c r="U92" s="17" t="str">
        <f t="shared" si="10"/>
        <v/>
      </c>
      <c r="V92" s="17" t="str">
        <f t="shared" si="11"/>
        <v/>
      </c>
      <c r="W92" s="17" t="str">
        <f>IF(V92="","",VLOOKUP(MAX(V92,0),Reference!$A$17:$B$20,2,TRUE()))</f>
        <v/>
      </c>
      <c r="X92" s="16"/>
      <c r="Y92" s="16"/>
      <c r="Z92" s="16"/>
      <c r="AA92" s="17" t="str">
        <f t="shared" si="12"/>
        <v/>
      </c>
      <c r="AB92" s="17" t="str">
        <f t="shared" si="13"/>
        <v/>
      </c>
      <c r="AC92" s="17" t="str">
        <f>IF(AB92="","",VLOOKUP(MAX(AB92,0),Reference!$A$17:$B$20,2,TRUE()))</f>
        <v/>
      </c>
      <c r="AD92" s="16"/>
    </row>
    <row r="93" spans="1:30" x14ac:dyDescent="0.3">
      <c r="A93" s="19"/>
      <c r="B93" s="16"/>
      <c r="C93" s="16"/>
      <c r="D93" s="16"/>
      <c r="E93" s="18"/>
      <c r="F93" s="18"/>
      <c r="G93" s="15" t="str">
        <f t="shared" si="7"/>
        <v/>
      </c>
      <c r="H93" s="16"/>
      <c r="I93" s="17" t="str">
        <f>IF(H93&lt;&gt;"",H93,IF(G93="","",ROUND(G93*IFERROR(INDEX(Reference!$B$44:$B$50,MATCH(C93,Reference!$A$44:$A$50,0)),0),0)))</f>
        <v/>
      </c>
      <c r="J93" s="16"/>
      <c r="K93" s="16"/>
      <c r="L93" s="17" t="str">
        <f t="shared" si="8"/>
        <v/>
      </c>
      <c r="M93" s="17" t="str">
        <f>IFERROR(INDEX(Roster!$D$5:$D$40,MATCH(B93,Roster!$A$5:$A$40,0)),"")</f>
        <v/>
      </c>
      <c r="N93" s="17" t="str">
        <f t="shared" si="9"/>
        <v/>
      </c>
      <c r="O93" s="17" t="str">
        <f>IF(OR(C93="Bullpen",C93="Game"),IFERROR(INDEX(Reference!$B$61:$B$62,MATCH(C93,Reference!$A$61:$A$62,0)),""),IF(D93="","",VLOOKUP(D93,Reference!$A$6:$B$11,2,TRUE())))</f>
        <v/>
      </c>
      <c r="P93" s="17" t="str">
        <f>IF(N93="","",VLOOKUP(MAX(N93,0),Reference!$A$17:$B$20,2,TRUE()))</f>
        <v/>
      </c>
      <c r="Q93" s="17" t="str">
        <f>IF(AND(OR(I93="",O93="",P93=""),OR(R93="",W93=""),OR(X93="",AC93="")),"",IF(OR(I93="",O93="",P93=""),0,I93*O93*P93)+IF(OR(R93="",W93=""),0,R93*IFERROR(INDEX(Reference!$B$61:$B$62,MATCH("Bullpen",Reference!$A$61:$A$62,0)),0)*W93)+IF(OR(X93="",AC93=""),0,X93*VLOOKUP(60,Reference!$A$6:$B$11,2,TRUE())*AC93))</f>
        <v/>
      </c>
      <c r="R93" s="16"/>
      <c r="S93" s="16"/>
      <c r="T93" s="16"/>
      <c r="U93" s="17" t="str">
        <f t="shared" si="10"/>
        <v/>
      </c>
      <c r="V93" s="17" t="str">
        <f t="shared" si="11"/>
        <v/>
      </c>
      <c r="W93" s="17" t="str">
        <f>IF(V93="","",VLOOKUP(MAX(V93,0),Reference!$A$17:$B$20,2,TRUE()))</f>
        <v/>
      </c>
      <c r="X93" s="16"/>
      <c r="Y93" s="16"/>
      <c r="Z93" s="16"/>
      <c r="AA93" s="17" t="str">
        <f t="shared" si="12"/>
        <v/>
      </c>
      <c r="AB93" s="17" t="str">
        <f t="shared" si="13"/>
        <v/>
      </c>
      <c r="AC93" s="17" t="str">
        <f>IF(AB93="","",VLOOKUP(MAX(AB93,0),Reference!$A$17:$B$20,2,TRUE()))</f>
        <v/>
      </c>
      <c r="AD93" s="16"/>
    </row>
    <row r="94" spans="1:30" x14ac:dyDescent="0.3">
      <c r="A94" s="19"/>
      <c r="B94" s="16"/>
      <c r="C94" s="16"/>
      <c r="D94" s="16"/>
      <c r="E94" s="18"/>
      <c r="F94" s="18"/>
      <c r="G94" s="15" t="str">
        <f t="shared" si="7"/>
        <v/>
      </c>
      <c r="H94" s="16"/>
      <c r="I94" s="17" t="str">
        <f>IF(H94&lt;&gt;"",H94,IF(G94="","",ROUND(G94*IFERROR(INDEX(Reference!$B$44:$B$50,MATCH(C94,Reference!$A$44:$A$50,0)),0),0)))</f>
        <v/>
      </c>
      <c r="J94" s="16"/>
      <c r="K94" s="16"/>
      <c r="L94" s="17" t="str">
        <f t="shared" si="8"/>
        <v/>
      </c>
      <c r="M94" s="17" t="str">
        <f>IFERROR(INDEX(Roster!$D$5:$D$40,MATCH(B94,Roster!$A$5:$A$40,0)),"")</f>
        <v/>
      </c>
      <c r="N94" s="17" t="str">
        <f t="shared" si="9"/>
        <v/>
      </c>
      <c r="O94" s="17" t="str">
        <f>IF(OR(C94="Bullpen",C94="Game"),IFERROR(INDEX(Reference!$B$61:$B$62,MATCH(C94,Reference!$A$61:$A$62,0)),""),IF(D94="","",VLOOKUP(D94,Reference!$A$6:$B$11,2,TRUE())))</f>
        <v/>
      </c>
      <c r="P94" s="17" t="str">
        <f>IF(N94="","",VLOOKUP(MAX(N94,0),Reference!$A$17:$B$20,2,TRUE()))</f>
        <v/>
      </c>
      <c r="Q94" s="17" t="str">
        <f>IF(AND(OR(I94="",O94="",P94=""),OR(R94="",W94=""),OR(X94="",AC94="")),"",IF(OR(I94="",O94="",P94=""),0,I94*O94*P94)+IF(OR(R94="",W94=""),0,R94*IFERROR(INDEX(Reference!$B$61:$B$62,MATCH("Bullpen",Reference!$A$61:$A$62,0)),0)*W94)+IF(OR(X94="",AC94=""),0,X94*VLOOKUP(60,Reference!$A$6:$B$11,2,TRUE())*AC94))</f>
        <v/>
      </c>
      <c r="R94" s="16"/>
      <c r="S94" s="16"/>
      <c r="T94" s="16"/>
      <c r="U94" s="17" t="str">
        <f t="shared" si="10"/>
        <v/>
      </c>
      <c r="V94" s="17" t="str">
        <f t="shared" si="11"/>
        <v/>
      </c>
      <c r="W94" s="17" t="str">
        <f>IF(V94="","",VLOOKUP(MAX(V94,0),Reference!$A$17:$B$20,2,TRUE()))</f>
        <v/>
      </c>
      <c r="X94" s="16"/>
      <c r="Y94" s="16"/>
      <c r="Z94" s="16"/>
      <c r="AA94" s="17" t="str">
        <f t="shared" si="12"/>
        <v/>
      </c>
      <c r="AB94" s="17" t="str">
        <f t="shared" si="13"/>
        <v/>
      </c>
      <c r="AC94" s="17" t="str">
        <f>IF(AB94="","",VLOOKUP(MAX(AB94,0),Reference!$A$17:$B$20,2,TRUE()))</f>
        <v/>
      </c>
      <c r="AD94" s="16"/>
    </row>
    <row r="95" spans="1:30" x14ac:dyDescent="0.3">
      <c r="A95" s="19"/>
      <c r="B95" s="16"/>
      <c r="C95" s="16"/>
      <c r="D95" s="16"/>
      <c r="E95" s="18"/>
      <c r="F95" s="18"/>
      <c r="G95" s="15" t="str">
        <f t="shared" si="7"/>
        <v/>
      </c>
      <c r="H95" s="16"/>
      <c r="I95" s="17" t="str">
        <f>IF(H95&lt;&gt;"",H95,IF(G95="","",ROUND(G95*IFERROR(INDEX(Reference!$B$44:$B$50,MATCH(C95,Reference!$A$44:$A$50,0)),0),0)))</f>
        <v/>
      </c>
      <c r="J95" s="16"/>
      <c r="K95" s="16"/>
      <c r="L95" s="17" t="str">
        <f t="shared" si="8"/>
        <v/>
      </c>
      <c r="M95" s="17" t="str">
        <f>IFERROR(INDEX(Roster!$D$5:$D$40,MATCH(B95,Roster!$A$5:$A$40,0)),"")</f>
        <v/>
      </c>
      <c r="N95" s="17" t="str">
        <f t="shared" si="9"/>
        <v/>
      </c>
      <c r="O95" s="17" t="str">
        <f>IF(OR(C95="Bullpen",C95="Game"),IFERROR(INDEX(Reference!$B$61:$B$62,MATCH(C95,Reference!$A$61:$A$62,0)),""),IF(D95="","",VLOOKUP(D95,Reference!$A$6:$B$11,2,TRUE())))</f>
        <v/>
      </c>
      <c r="P95" s="17" t="str">
        <f>IF(N95="","",VLOOKUP(MAX(N95,0),Reference!$A$17:$B$20,2,TRUE()))</f>
        <v/>
      </c>
      <c r="Q95" s="17" t="str">
        <f>IF(AND(OR(I95="",O95="",P95=""),OR(R95="",W95=""),OR(X95="",AC95="")),"",IF(OR(I95="",O95="",P95=""),0,I95*O95*P95)+IF(OR(R95="",W95=""),0,R95*IFERROR(INDEX(Reference!$B$61:$B$62,MATCH("Bullpen",Reference!$A$61:$A$62,0)),0)*W95)+IF(OR(X95="",AC95=""),0,X95*VLOOKUP(60,Reference!$A$6:$B$11,2,TRUE())*AC95))</f>
        <v/>
      </c>
      <c r="R95" s="16"/>
      <c r="S95" s="16"/>
      <c r="T95" s="16"/>
      <c r="U95" s="17" t="str">
        <f t="shared" si="10"/>
        <v/>
      </c>
      <c r="V95" s="17" t="str">
        <f t="shared" si="11"/>
        <v/>
      </c>
      <c r="W95" s="17" t="str">
        <f>IF(V95="","",VLOOKUP(MAX(V95,0),Reference!$A$17:$B$20,2,TRUE()))</f>
        <v/>
      </c>
      <c r="X95" s="16"/>
      <c r="Y95" s="16"/>
      <c r="Z95" s="16"/>
      <c r="AA95" s="17" t="str">
        <f t="shared" si="12"/>
        <v/>
      </c>
      <c r="AB95" s="17" t="str">
        <f t="shared" si="13"/>
        <v/>
      </c>
      <c r="AC95" s="17" t="str">
        <f>IF(AB95="","",VLOOKUP(MAX(AB95,0),Reference!$A$17:$B$20,2,TRUE()))</f>
        <v/>
      </c>
      <c r="AD95" s="16"/>
    </row>
    <row r="96" spans="1:30" x14ac:dyDescent="0.3">
      <c r="A96" s="19"/>
      <c r="B96" s="16"/>
      <c r="C96" s="16"/>
      <c r="D96" s="16"/>
      <c r="E96" s="18"/>
      <c r="F96" s="18"/>
      <c r="G96" s="15" t="str">
        <f t="shared" si="7"/>
        <v/>
      </c>
      <c r="H96" s="16"/>
      <c r="I96" s="17" t="str">
        <f>IF(H96&lt;&gt;"",H96,IF(G96="","",ROUND(G96*IFERROR(INDEX(Reference!$B$44:$B$50,MATCH(C96,Reference!$A$44:$A$50,0)),0),0)))</f>
        <v/>
      </c>
      <c r="J96" s="16"/>
      <c r="K96" s="16"/>
      <c r="L96" s="17" t="str">
        <f t="shared" si="8"/>
        <v/>
      </c>
      <c r="M96" s="17" t="str">
        <f>IFERROR(INDEX(Roster!$D$5:$D$40,MATCH(B96,Roster!$A$5:$A$40,0)),"")</f>
        <v/>
      </c>
      <c r="N96" s="17" t="str">
        <f t="shared" si="9"/>
        <v/>
      </c>
      <c r="O96" s="17" t="str">
        <f>IF(OR(C96="Bullpen",C96="Game"),IFERROR(INDEX(Reference!$B$61:$B$62,MATCH(C96,Reference!$A$61:$A$62,0)),""),IF(D96="","",VLOOKUP(D96,Reference!$A$6:$B$11,2,TRUE())))</f>
        <v/>
      </c>
      <c r="P96" s="17" t="str">
        <f>IF(N96="","",VLOOKUP(MAX(N96,0),Reference!$A$17:$B$20,2,TRUE()))</f>
        <v/>
      </c>
      <c r="Q96" s="17" t="str">
        <f>IF(AND(OR(I96="",O96="",P96=""),OR(R96="",W96=""),OR(X96="",AC96="")),"",IF(OR(I96="",O96="",P96=""),0,I96*O96*P96)+IF(OR(R96="",W96=""),0,R96*IFERROR(INDEX(Reference!$B$61:$B$62,MATCH("Bullpen",Reference!$A$61:$A$62,0)),0)*W96)+IF(OR(X96="",AC96=""),0,X96*VLOOKUP(60,Reference!$A$6:$B$11,2,TRUE())*AC96))</f>
        <v/>
      </c>
      <c r="R96" s="16"/>
      <c r="S96" s="16"/>
      <c r="T96" s="16"/>
      <c r="U96" s="17" t="str">
        <f t="shared" si="10"/>
        <v/>
      </c>
      <c r="V96" s="17" t="str">
        <f t="shared" si="11"/>
        <v/>
      </c>
      <c r="W96" s="17" t="str">
        <f>IF(V96="","",VLOOKUP(MAX(V96,0),Reference!$A$17:$B$20,2,TRUE()))</f>
        <v/>
      </c>
      <c r="X96" s="16"/>
      <c r="Y96" s="16"/>
      <c r="Z96" s="16"/>
      <c r="AA96" s="17" t="str">
        <f t="shared" si="12"/>
        <v/>
      </c>
      <c r="AB96" s="17" t="str">
        <f t="shared" si="13"/>
        <v/>
      </c>
      <c r="AC96" s="17" t="str">
        <f>IF(AB96="","",VLOOKUP(MAX(AB96,0),Reference!$A$17:$B$20,2,TRUE()))</f>
        <v/>
      </c>
      <c r="AD96" s="16"/>
    </row>
    <row r="97" spans="1:30" x14ac:dyDescent="0.3">
      <c r="A97" s="19"/>
      <c r="B97" s="16"/>
      <c r="C97" s="16"/>
      <c r="D97" s="16"/>
      <c r="E97" s="18"/>
      <c r="F97" s="18"/>
      <c r="G97" s="15" t="str">
        <f t="shared" si="7"/>
        <v/>
      </c>
      <c r="H97" s="16"/>
      <c r="I97" s="17" t="str">
        <f>IF(H97&lt;&gt;"",H97,IF(G97="","",ROUND(G97*IFERROR(INDEX(Reference!$B$44:$B$50,MATCH(C97,Reference!$A$44:$A$50,0)),0),0)))</f>
        <v/>
      </c>
      <c r="J97" s="16"/>
      <c r="K97" s="16"/>
      <c r="L97" s="17" t="str">
        <f t="shared" si="8"/>
        <v/>
      </c>
      <c r="M97" s="17" t="str">
        <f>IFERROR(INDEX(Roster!$D$5:$D$40,MATCH(B97,Roster!$A$5:$A$40,0)),"")</f>
        <v/>
      </c>
      <c r="N97" s="17" t="str">
        <f t="shared" si="9"/>
        <v/>
      </c>
      <c r="O97" s="17" t="str">
        <f>IF(OR(C97="Bullpen",C97="Game"),IFERROR(INDEX(Reference!$B$61:$B$62,MATCH(C97,Reference!$A$61:$A$62,0)),""),IF(D97="","",VLOOKUP(D97,Reference!$A$6:$B$11,2,TRUE())))</f>
        <v/>
      </c>
      <c r="P97" s="17" t="str">
        <f>IF(N97="","",VLOOKUP(MAX(N97,0),Reference!$A$17:$B$20,2,TRUE()))</f>
        <v/>
      </c>
      <c r="Q97" s="17" t="str">
        <f>IF(AND(OR(I97="",O97="",P97=""),OR(R97="",W97=""),OR(X97="",AC97="")),"",IF(OR(I97="",O97="",P97=""),0,I97*O97*P97)+IF(OR(R97="",W97=""),0,R97*IFERROR(INDEX(Reference!$B$61:$B$62,MATCH("Bullpen",Reference!$A$61:$A$62,0)),0)*W97)+IF(OR(X97="",AC97=""),0,X97*VLOOKUP(60,Reference!$A$6:$B$11,2,TRUE())*AC97))</f>
        <v/>
      </c>
      <c r="R97" s="16"/>
      <c r="S97" s="16"/>
      <c r="T97" s="16"/>
      <c r="U97" s="17" t="str">
        <f t="shared" si="10"/>
        <v/>
      </c>
      <c r="V97" s="17" t="str">
        <f t="shared" si="11"/>
        <v/>
      </c>
      <c r="W97" s="17" t="str">
        <f>IF(V97="","",VLOOKUP(MAX(V97,0),Reference!$A$17:$B$20,2,TRUE()))</f>
        <v/>
      </c>
      <c r="X97" s="16"/>
      <c r="Y97" s="16"/>
      <c r="Z97" s="16"/>
      <c r="AA97" s="17" t="str">
        <f t="shared" si="12"/>
        <v/>
      </c>
      <c r="AB97" s="17" t="str">
        <f t="shared" si="13"/>
        <v/>
      </c>
      <c r="AC97" s="17" t="str">
        <f>IF(AB97="","",VLOOKUP(MAX(AB97,0),Reference!$A$17:$B$20,2,TRUE()))</f>
        <v/>
      </c>
      <c r="AD97" s="16"/>
    </row>
    <row r="98" spans="1:30" x14ac:dyDescent="0.3">
      <c r="A98" s="19"/>
      <c r="B98" s="16"/>
      <c r="C98" s="16"/>
      <c r="D98" s="16"/>
      <c r="E98" s="18"/>
      <c r="F98" s="18"/>
      <c r="G98" s="15" t="str">
        <f t="shared" si="7"/>
        <v/>
      </c>
      <c r="H98" s="16"/>
      <c r="I98" s="17" t="str">
        <f>IF(H98&lt;&gt;"",H98,IF(G98="","",ROUND(G98*IFERROR(INDEX(Reference!$B$44:$B$50,MATCH(C98,Reference!$A$44:$A$50,0)),0),0)))</f>
        <v/>
      </c>
      <c r="J98" s="16"/>
      <c r="K98" s="16"/>
      <c r="L98" s="17" t="str">
        <f t="shared" si="8"/>
        <v/>
      </c>
      <c r="M98" s="17" t="str">
        <f>IFERROR(INDEX(Roster!$D$5:$D$40,MATCH(B98,Roster!$A$5:$A$40,0)),"")</f>
        <v/>
      </c>
      <c r="N98" s="17" t="str">
        <f t="shared" si="9"/>
        <v/>
      </c>
      <c r="O98" s="17" t="str">
        <f>IF(OR(C98="Bullpen",C98="Game"),IFERROR(INDEX(Reference!$B$61:$B$62,MATCH(C98,Reference!$A$61:$A$62,0)),""),IF(D98="","",VLOOKUP(D98,Reference!$A$6:$B$11,2,TRUE())))</f>
        <v/>
      </c>
      <c r="P98" s="17" t="str">
        <f>IF(N98="","",VLOOKUP(MAX(N98,0),Reference!$A$17:$B$20,2,TRUE()))</f>
        <v/>
      </c>
      <c r="Q98" s="17" t="str">
        <f>IF(AND(OR(I98="",O98="",P98=""),OR(R98="",W98=""),OR(X98="",AC98="")),"",IF(OR(I98="",O98="",P98=""),0,I98*O98*P98)+IF(OR(R98="",W98=""),0,R98*IFERROR(INDEX(Reference!$B$61:$B$62,MATCH("Bullpen",Reference!$A$61:$A$62,0)),0)*W98)+IF(OR(X98="",AC98=""),0,X98*VLOOKUP(60,Reference!$A$6:$B$11,2,TRUE())*AC98))</f>
        <v/>
      </c>
      <c r="R98" s="16"/>
      <c r="S98" s="16"/>
      <c r="T98" s="16"/>
      <c r="U98" s="17" t="str">
        <f t="shared" si="10"/>
        <v/>
      </c>
      <c r="V98" s="17" t="str">
        <f t="shared" si="11"/>
        <v/>
      </c>
      <c r="W98" s="17" t="str">
        <f>IF(V98="","",VLOOKUP(MAX(V98,0),Reference!$A$17:$B$20,2,TRUE()))</f>
        <v/>
      </c>
      <c r="X98" s="16"/>
      <c r="Y98" s="16"/>
      <c r="Z98" s="16"/>
      <c r="AA98" s="17" t="str">
        <f t="shared" si="12"/>
        <v/>
      </c>
      <c r="AB98" s="17" t="str">
        <f t="shared" si="13"/>
        <v/>
      </c>
      <c r="AC98" s="17" t="str">
        <f>IF(AB98="","",VLOOKUP(MAX(AB98,0),Reference!$A$17:$B$20,2,TRUE()))</f>
        <v/>
      </c>
      <c r="AD98" s="16"/>
    </row>
    <row r="99" spans="1:30" x14ac:dyDescent="0.3">
      <c r="A99" s="19"/>
      <c r="B99" s="16"/>
      <c r="C99" s="16"/>
      <c r="D99" s="16"/>
      <c r="E99" s="18"/>
      <c r="F99" s="18"/>
      <c r="G99" s="15" t="str">
        <f t="shared" si="7"/>
        <v/>
      </c>
      <c r="H99" s="16"/>
      <c r="I99" s="17" t="str">
        <f>IF(H99&lt;&gt;"",H99,IF(G99="","",ROUND(G99*IFERROR(INDEX(Reference!$B$44:$B$50,MATCH(C99,Reference!$A$44:$A$50,0)),0),0)))</f>
        <v/>
      </c>
      <c r="J99" s="16"/>
      <c r="K99" s="16"/>
      <c r="L99" s="17" t="str">
        <f t="shared" si="8"/>
        <v/>
      </c>
      <c r="M99" s="17" t="str">
        <f>IFERROR(INDEX(Roster!$D$5:$D$40,MATCH(B99,Roster!$A$5:$A$40,0)),"")</f>
        <v/>
      </c>
      <c r="N99" s="17" t="str">
        <f t="shared" si="9"/>
        <v/>
      </c>
      <c r="O99" s="17" t="str">
        <f>IF(OR(C99="Bullpen",C99="Game"),IFERROR(INDEX(Reference!$B$61:$B$62,MATCH(C99,Reference!$A$61:$A$62,0)),""),IF(D99="","",VLOOKUP(D99,Reference!$A$6:$B$11,2,TRUE())))</f>
        <v/>
      </c>
      <c r="P99" s="17" t="str">
        <f>IF(N99="","",VLOOKUP(MAX(N99,0),Reference!$A$17:$B$20,2,TRUE()))</f>
        <v/>
      </c>
      <c r="Q99" s="17" t="str">
        <f>IF(AND(OR(I99="",O99="",P99=""),OR(R99="",W99=""),OR(X99="",AC99="")),"",IF(OR(I99="",O99="",P99=""),0,I99*O99*P99)+IF(OR(R99="",W99=""),0,R99*IFERROR(INDEX(Reference!$B$61:$B$62,MATCH("Bullpen",Reference!$A$61:$A$62,0)),0)*W99)+IF(OR(X99="",AC99=""),0,X99*VLOOKUP(60,Reference!$A$6:$B$11,2,TRUE())*AC99))</f>
        <v/>
      </c>
      <c r="R99" s="16"/>
      <c r="S99" s="16"/>
      <c r="T99" s="16"/>
      <c r="U99" s="17" t="str">
        <f t="shared" si="10"/>
        <v/>
      </c>
      <c r="V99" s="17" t="str">
        <f t="shared" si="11"/>
        <v/>
      </c>
      <c r="W99" s="17" t="str">
        <f>IF(V99="","",VLOOKUP(MAX(V99,0),Reference!$A$17:$B$20,2,TRUE()))</f>
        <v/>
      </c>
      <c r="X99" s="16"/>
      <c r="Y99" s="16"/>
      <c r="Z99" s="16"/>
      <c r="AA99" s="17" t="str">
        <f t="shared" si="12"/>
        <v/>
      </c>
      <c r="AB99" s="17" t="str">
        <f t="shared" si="13"/>
        <v/>
      </c>
      <c r="AC99" s="17" t="str">
        <f>IF(AB99="","",VLOOKUP(MAX(AB99,0),Reference!$A$17:$B$20,2,TRUE()))</f>
        <v/>
      </c>
      <c r="AD99" s="16"/>
    </row>
    <row r="100" spans="1:30" x14ac:dyDescent="0.3">
      <c r="A100" s="19"/>
      <c r="B100" s="16"/>
      <c r="C100" s="16"/>
      <c r="D100" s="16"/>
      <c r="E100" s="18"/>
      <c r="F100" s="18"/>
      <c r="G100" s="15" t="str">
        <f t="shared" si="7"/>
        <v/>
      </c>
      <c r="H100" s="16"/>
      <c r="I100" s="17" t="str">
        <f>IF(H100&lt;&gt;"",H100,IF(G100="","",ROUND(G100*IFERROR(INDEX(Reference!$B$44:$B$50,MATCH(C100,Reference!$A$44:$A$50,0)),0),0)))</f>
        <v/>
      </c>
      <c r="J100" s="16"/>
      <c r="K100" s="16"/>
      <c r="L100" s="17" t="str">
        <f t="shared" si="8"/>
        <v/>
      </c>
      <c r="M100" s="17" t="str">
        <f>IFERROR(INDEX(Roster!$D$5:$D$40,MATCH(B100,Roster!$A$5:$A$40,0)),"")</f>
        <v/>
      </c>
      <c r="N100" s="17" t="str">
        <f t="shared" si="9"/>
        <v/>
      </c>
      <c r="O100" s="17" t="str">
        <f>IF(OR(C100="Bullpen",C100="Game"),IFERROR(INDEX(Reference!$B$61:$B$62,MATCH(C100,Reference!$A$61:$A$62,0)),""),IF(D100="","",VLOOKUP(D100,Reference!$A$6:$B$11,2,TRUE())))</f>
        <v/>
      </c>
      <c r="P100" s="17" t="str">
        <f>IF(N100="","",VLOOKUP(MAX(N100,0),Reference!$A$17:$B$20,2,TRUE()))</f>
        <v/>
      </c>
      <c r="Q100" s="17" t="str">
        <f>IF(AND(OR(I100="",O100="",P100=""),OR(R100="",W100=""),OR(X100="",AC100="")),"",IF(OR(I100="",O100="",P100=""),0,I100*O100*P100)+IF(OR(R100="",W100=""),0,R100*IFERROR(INDEX(Reference!$B$61:$B$62,MATCH("Bullpen",Reference!$A$61:$A$62,0)),0)*W100)+IF(OR(X100="",AC100=""),0,X100*VLOOKUP(60,Reference!$A$6:$B$11,2,TRUE())*AC100))</f>
        <v/>
      </c>
      <c r="R100" s="16"/>
      <c r="S100" s="16"/>
      <c r="T100" s="16"/>
      <c r="U100" s="17" t="str">
        <f t="shared" si="10"/>
        <v/>
      </c>
      <c r="V100" s="17" t="str">
        <f t="shared" si="11"/>
        <v/>
      </c>
      <c r="W100" s="17" t="str">
        <f>IF(V100="","",VLOOKUP(MAX(V100,0),Reference!$A$17:$B$20,2,TRUE()))</f>
        <v/>
      </c>
      <c r="X100" s="16"/>
      <c r="Y100" s="16"/>
      <c r="Z100" s="16"/>
      <c r="AA100" s="17" t="str">
        <f t="shared" si="12"/>
        <v/>
      </c>
      <c r="AB100" s="17" t="str">
        <f t="shared" si="13"/>
        <v/>
      </c>
      <c r="AC100" s="17" t="str">
        <f>IF(AB100="","",VLOOKUP(MAX(AB100,0),Reference!$A$17:$B$20,2,TRUE()))</f>
        <v/>
      </c>
      <c r="AD100" s="16"/>
    </row>
    <row r="101" spans="1:30" x14ac:dyDescent="0.3">
      <c r="A101" s="19"/>
      <c r="B101" s="16"/>
      <c r="C101" s="16"/>
      <c r="D101" s="16"/>
      <c r="E101" s="18"/>
      <c r="F101" s="18"/>
      <c r="G101" s="15" t="str">
        <f t="shared" si="7"/>
        <v/>
      </c>
      <c r="H101" s="16"/>
      <c r="I101" s="17" t="str">
        <f>IF(H101&lt;&gt;"",H101,IF(G101="","",ROUND(G101*IFERROR(INDEX(Reference!$B$44:$B$50,MATCH(C101,Reference!$A$44:$A$50,0)),0),0)))</f>
        <v/>
      </c>
      <c r="J101" s="16"/>
      <c r="K101" s="16"/>
      <c r="L101" s="17" t="str">
        <f t="shared" si="8"/>
        <v/>
      </c>
      <c r="M101" s="17" t="str">
        <f>IFERROR(INDEX(Roster!$D$5:$D$40,MATCH(B101,Roster!$A$5:$A$40,0)),"")</f>
        <v/>
      </c>
      <c r="N101" s="17" t="str">
        <f t="shared" si="9"/>
        <v/>
      </c>
      <c r="O101" s="17" t="str">
        <f>IF(OR(C101="Bullpen",C101="Game"),IFERROR(INDEX(Reference!$B$61:$B$62,MATCH(C101,Reference!$A$61:$A$62,0)),""),IF(D101="","",VLOOKUP(D101,Reference!$A$6:$B$11,2,TRUE())))</f>
        <v/>
      </c>
      <c r="P101" s="17" t="str">
        <f>IF(N101="","",VLOOKUP(MAX(N101,0),Reference!$A$17:$B$20,2,TRUE()))</f>
        <v/>
      </c>
      <c r="Q101" s="17" t="str">
        <f>IF(AND(OR(I101="",O101="",P101=""),OR(R101="",W101=""),OR(X101="",AC101="")),"",IF(OR(I101="",O101="",P101=""),0,I101*O101*P101)+IF(OR(R101="",W101=""),0,R101*IFERROR(INDEX(Reference!$B$61:$B$62,MATCH("Bullpen",Reference!$A$61:$A$62,0)),0)*W101)+IF(OR(X101="",AC101=""),0,X101*VLOOKUP(60,Reference!$A$6:$B$11,2,TRUE())*AC101))</f>
        <v/>
      </c>
      <c r="R101" s="16"/>
      <c r="S101" s="16"/>
      <c r="T101" s="16"/>
      <c r="U101" s="17" t="str">
        <f t="shared" si="10"/>
        <v/>
      </c>
      <c r="V101" s="17" t="str">
        <f t="shared" si="11"/>
        <v/>
      </c>
      <c r="W101" s="17" t="str">
        <f>IF(V101="","",VLOOKUP(MAX(V101,0),Reference!$A$17:$B$20,2,TRUE()))</f>
        <v/>
      </c>
      <c r="X101" s="16"/>
      <c r="Y101" s="16"/>
      <c r="Z101" s="16"/>
      <c r="AA101" s="17" t="str">
        <f t="shared" si="12"/>
        <v/>
      </c>
      <c r="AB101" s="17" t="str">
        <f t="shared" si="13"/>
        <v/>
      </c>
      <c r="AC101" s="17" t="str">
        <f>IF(AB101="","",VLOOKUP(MAX(AB101,0),Reference!$A$17:$B$20,2,TRUE()))</f>
        <v/>
      </c>
      <c r="AD101" s="16"/>
    </row>
    <row r="102" spans="1:30" x14ac:dyDescent="0.3">
      <c r="A102" s="19"/>
      <c r="B102" s="16"/>
      <c r="C102" s="16"/>
      <c r="D102" s="16"/>
      <c r="E102" s="18"/>
      <c r="F102" s="18"/>
      <c r="G102" s="15" t="str">
        <f t="shared" si="7"/>
        <v/>
      </c>
      <c r="H102" s="16"/>
      <c r="I102" s="17" t="str">
        <f>IF(H102&lt;&gt;"",H102,IF(G102="","",ROUND(G102*IFERROR(INDEX(Reference!$B$44:$B$50,MATCH(C102,Reference!$A$44:$A$50,0)),0),0)))</f>
        <v/>
      </c>
      <c r="J102" s="16"/>
      <c r="K102" s="16"/>
      <c r="L102" s="17" t="str">
        <f t="shared" si="8"/>
        <v/>
      </c>
      <c r="M102" s="17" t="str">
        <f>IFERROR(INDEX(Roster!$D$5:$D$40,MATCH(B102,Roster!$A$5:$A$40,0)),"")</f>
        <v/>
      </c>
      <c r="N102" s="17" t="str">
        <f t="shared" si="9"/>
        <v/>
      </c>
      <c r="O102" s="17" t="str">
        <f>IF(OR(C102="Bullpen",C102="Game"),IFERROR(INDEX(Reference!$B$61:$B$62,MATCH(C102,Reference!$A$61:$A$62,0)),""),IF(D102="","",VLOOKUP(D102,Reference!$A$6:$B$11,2,TRUE())))</f>
        <v/>
      </c>
      <c r="P102" s="17" t="str">
        <f>IF(N102="","",VLOOKUP(MAX(N102,0),Reference!$A$17:$B$20,2,TRUE()))</f>
        <v/>
      </c>
      <c r="Q102" s="17" t="str">
        <f>IF(AND(OR(I102="",O102="",P102=""),OR(R102="",W102=""),OR(X102="",AC102="")),"",IF(OR(I102="",O102="",P102=""),0,I102*O102*P102)+IF(OR(R102="",W102=""),0,R102*IFERROR(INDEX(Reference!$B$61:$B$62,MATCH("Bullpen",Reference!$A$61:$A$62,0)),0)*W102)+IF(OR(X102="",AC102=""),0,X102*VLOOKUP(60,Reference!$A$6:$B$11,2,TRUE())*AC102))</f>
        <v/>
      </c>
      <c r="R102" s="16"/>
      <c r="S102" s="16"/>
      <c r="T102" s="16"/>
      <c r="U102" s="17" t="str">
        <f t="shared" si="10"/>
        <v/>
      </c>
      <c r="V102" s="17" t="str">
        <f t="shared" si="11"/>
        <v/>
      </c>
      <c r="W102" s="17" t="str">
        <f>IF(V102="","",VLOOKUP(MAX(V102,0),Reference!$A$17:$B$20,2,TRUE()))</f>
        <v/>
      </c>
      <c r="X102" s="16"/>
      <c r="Y102" s="16"/>
      <c r="Z102" s="16"/>
      <c r="AA102" s="17" t="str">
        <f t="shared" si="12"/>
        <v/>
      </c>
      <c r="AB102" s="17" t="str">
        <f t="shared" si="13"/>
        <v/>
      </c>
      <c r="AC102" s="17" t="str">
        <f>IF(AB102="","",VLOOKUP(MAX(AB102,0),Reference!$A$17:$B$20,2,TRUE()))</f>
        <v/>
      </c>
      <c r="AD102" s="16"/>
    </row>
    <row r="103" spans="1:30" x14ac:dyDescent="0.3">
      <c r="A103" s="19"/>
      <c r="B103" s="16"/>
      <c r="C103" s="16"/>
      <c r="D103" s="16"/>
      <c r="E103" s="18"/>
      <c r="F103" s="18"/>
      <c r="G103" s="15" t="str">
        <f t="shared" si="7"/>
        <v/>
      </c>
      <c r="H103" s="16"/>
      <c r="I103" s="17" t="str">
        <f>IF(H103&lt;&gt;"",H103,IF(G103="","",ROUND(G103*IFERROR(INDEX(Reference!$B$44:$B$50,MATCH(C103,Reference!$A$44:$A$50,0)),0),0)))</f>
        <v/>
      </c>
      <c r="J103" s="16"/>
      <c r="K103" s="16"/>
      <c r="L103" s="17" t="str">
        <f t="shared" si="8"/>
        <v/>
      </c>
      <c r="M103" s="17" t="str">
        <f>IFERROR(INDEX(Roster!$D$5:$D$40,MATCH(B103,Roster!$A$5:$A$40,0)),"")</f>
        <v/>
      </c>
      <c r="N103" s="17" t="str">
        <f t="shared" si="9"/>
        <v/>
      </c>
      <c r="O103" s="17" t="str">
        <f>IF(OR(C103="Bullpen",C103="Game"),IFERROR(INDEX(Reference!$B$61:$B$62,MATCH(C103,Reference!$A$61:$A$62,0)),""),IF(D103="","",VLOOKUP(D103,Reference!$A$6:$B$11,2,TRUE())))</f>
        <v/>
      </c>
      <c r="P103" s="17" t="str">
        <f>IF(N103="","",VLOOKUP(MAX(N103,0),Reference!$A$17:$B$20,2,TRUE()))</f>
        <v/>
      </c>
      <c r="Q103" s="17" t="str">
        <f>IF(AND(OR(I103="",O103="",P103=""),OR(R103="",W103=""),OR(X103="",AC103="")),"",IF(OR(I103="",O103="",P103=""),0,I103*O103*P103)+IF(OR(R103="",W103=""),0,R103*IFERROR(INDEX(Reference!$B$61:$B$62,MATCH("Bullpen",Reference!$A$61:$A$62,0)),0)*W103)+IF(OR(X103="",AC103=""),0,X103*VLOOKUP(60,Reference!$A$6:$B$11,2,TRUE())*AC103))</f>
        <v/>
      </c>
      <c r="R103" s="16"/>
      <c r="S103" s="16"/>
      <c r="T103" s="16"/>
      <c r="U103" s="17" t="str">
        <f t="shared" si="10"/>
        <v/>
      </c>
      <c r="V103" s="17" t="str">
        <f t="shared" si="11"/>
        <v/>
      </c>
      <c r="W103" s="17" t="str">
        <f>IF(V103="","",VLOOKUP(MAX(V103,0),Reference!$A$17:$B$20,2,TRUE()))</f>
        <v/>
      </c>
      <c r="X103" s="16"/>
      <c r="Y103" s="16"/>
      <c r="Z103" s="16"/>
      <c r="AA103" s="17" t="str">
        <f t="shared" si="12"/>
        <v/>
      </c>
      <c r="AB103" s="17" t="str">
        <f t="shared" si="13"/>
        <v/>
      </c>
      <c r="AC103" s="17" t="str">
        <f>IF(AB103="","",VLOOKUP(MAX(AB103,0),Reference!$A$17:$B$20,2,TRUE()))</f>
        <v/>
      </c>
      <c r="AD103" s="16"/>
    </row>
    <row r="104" spans="1:30" x14ac:dyDescent="0.3">
      <c r="A104" s="19"/>
      <c r="B104" s="16"/>
      <c r="C104" s="16"/>
      <c r="D104" s="16"/>
      <c r="E104" s="18"/>
      <c r="F104" s="18"/>
      <c r="G104" s="15" t="str">
        <f t="shared" si="7"/>
        <v/>
      </c>
      <c r="H104" s="16"/>
      <c r="I104" s="17" t="str">
        <f>IF(H104&lt;&gt;"",H104,IF(G104="","",ROUND(G104*IFERROR(INDEX(Reference!$B$44:$B$50,MATCH(C104,Reference!$A$44:$A$50,0)),0),0)))</f>
        <v/>
      </c>
      <c r="J104" s="16"/>
      <c r="K104" s="16"/>
      <c r="L104" s="17" t="str">
        <f t="shared" si="8"/>
        <v/>
      </c>
      <c r="M104" s="17" t="str">
        <f>IFERROR(INDEX(Roster!$D$5:$D$40,MATCH(B104,Roster!$A$5:$A$40,0)),"")</f>
        <v/>
      </c>
      <c r="N104" s="17" t="str">
        <f t="shared" si="9"/>
        <v/>
      </c>
      <c r="O104" s="17" t="str">
        <f>IF(OR(C104="Bullpen",C104="Game"),IFERROR(INDEX(Reference!$B$61:$B$62,MATCH(C104,Reference!$A$61:$A$62,0)),""),IF(D104="","",VLOOKUP(D104,Reference!$A$6:$B$11,2,TRUE())))</f>
        <v/>
      </c>
      <c r="P104" s="17" t="str">
        <f>IF(N104="","",VLOOKUP(MAX(N104,0),Reference!$A$17:$B$20,2,TRUE()))</f>
        <v/>
      </c>
      <c r="Q104" s="17" t="str">
        <f>IF(AND(OR(I104="",O104="",P104=""),OR(R104="",W104=""),OR(X104="",AC104="")),"",IF(OR(I104="",O104="",P104=""),0,I104*O104*P104)+IF(OR(R104="",W104=""),0,R104*IFERROR(INDEX(Reference!$B$61:$B$62,MATCH("Bullpen",Reference!$A$61:$A$62,0)),0)*W104)+IF(OR(X104="",AC104=""),0,X104*VLOOKUP(60,Reference!$A$6:$B$11,2,TRUE())*AC104))</f>
        <v/>
      </c>
      <c r="R104" s="16"/>
      <c r="S104" s="16"/>
      <c r="T104" s="16"/>
      <c r="U104" s="17" t="str">
        <f t="shared" si="10"/>
        <v/>
      </c>
      <c r="V104" s="17" t="str">
        <f t="shared" si="11"/>
        <v/>
      </c>
      <c r="W104" s="17" t="str">
        <f>IF(V104="","",VLOOKUP(MAX(V104,0),Reference!$A$17:$B$20,2,TRUE()))</f>
        <v/>
      </c>
      <c r="X104" s="16"/>
      <c r="Y104" s="16"/>
      <c r="Z104" s="16"/>
      <c r="AA104" s="17" t="str">
        <f t="shared" si="12"/>
        <v/>
      </c>
      <c r="AB104" s="17" t="str">
        <f t="shared" si="13"/>
        <v/>
      </c>
      <c r="AC104" s="17" t="str">
        <f>IF(AB104="","",VLOOKUP(MAX(AB104,0),Reference!$A$17:$B$20,2,TRUE()))</f>
        <v/>
      </c>
      <c r="AD104" s="16"/>
    </row>
    <row r="105" spans="1:30" x14ac:dyDescent="0.3">
      <c r="A105" s="19"/>
      <c r="B105" s="16"/>
      <c r="C105" s="16"/>
      <c r="D105" s="16"/>
      <c r="E105" s="18"/>
      <c r="F105" s="18"/>
      <c r="G105" s="15" t="str">
        <f t="shared" si="7"/>
        <v/>
      </c>
      <c r="H105" s="16"/>
      <c r="I105" s="17" t="str">
        <f>IF(H105&lt;&gt;"",H105,IF(G105="","",ROUND(G105*IFERROR(INDEX(Reference!$B$44:$B$50,MATCH(C105,Reference!$A$44:$A$50,0)),0),0)))</f>
        <v/>
      </c>
      <c r="J105" s="16"/>
      <c r="K105" s="16"/>
      <c r="L105" s="17" t="str">
        <f t="shared" si="8"/>
        <v/>
      </c>
      <c r="M105" s="17" t="str">
        <f>IFERROR(INDEX(Roster!$D$5:$D$40,MATCH(B105,Roster!$A$5:$A$40,0)),"")</f>
        <v/>
      </c>
      <c r="N105" s="17" t="str">
        <f t="shared" si="9"/>
        <v/>
      </c>
      <c r="O105" s="17" t="str">
        <f>IF(OR(C105="Bullpen",C105="Game"),IFERROR(INDEX(Reference!$B$61:$B$62,MATCH(C105,Reference!$A$61:$A$62,0)),""),IF(D105="","",VLOOKUP(D105,Reference!$A$6:$B$11,2,TRUE())))</f>
        <v/>
      </c>
      <c r="P105" s="17" t="str">
        <f>IF(N105="","",VLOOKUP(MAX(N105,0),Reference!$A$17:$B$20,2,TRUE()))</f>
        <v/>
      </c>
      <c r="Q105" s="17" t="str">
        <f>IF(AND(OR(I105="",O105="",P105=""),OR(R105="",W105=""),OR(X105="",AC105="")),"",IF(OR(I105="",O105="",P105=""),0,I105*O105*P105)+IF(OR(R105="",W105=""),0,R105*IFERROR(INDEX(Reference!$B$61:$B$62,MATCH("Bullpen",Reference!$A$61:$A$62,0)),0)*W105)+IF(OR(X105="",AC105=""),0,X105*VLOOKUP(60,Reference!$A$6:$B$11,2,TRUE())*AC105))</f>
        <v/>
      </c>
      <c r="R105" s="16"/>
      <c r="S105" s="16"/>
      <c r="T105" s="16"/>
      <c r="U105" s="17" t="str">
        <f t="shared" si="10"/>
        <v/>
      </c>
      <c r="V105" s="17" t="str">
        <f t="shared" si="11"/>
        <v/>
      </c>
      <c r="W105" s="17" t="str">
        <f>IF(V105="","",VLOOKUP(MAX(V105,0),Reference!$A$17:$B$20,2,TRUE()))</f>
        <v/>
      </c>
      <c r="X105" s="16"/>
      <c r="Y105" s="16"/>
      <c r="Z105" s="16"/>
      <c r="AA105" s="17" t="str">
        <f t="shared" si="12"/>
        <v/>
      </c>
      <c r="AB105" s="17" t="str">
        <f t="shared" si="13"/>
        <v/>
      </c>
      <c r="AC105" s="17" t="str">
        <f>IF(AB105="","",VLOOKUP(MAX(AB105,0),Reference!$A$17:$B$20,2,TRUE()))</f>
        <v/>
      </c>
      <c r="AD105" s="16"/>
    </row>
    <row r="106" spans="1:30" x14ac:dyDescent="0.3">
      <c r="A106" s="19"/>
      <c r="B106" s="16"/>
      <c r="C106" s="16"/>
      <c r="D106" s="16"/>
      <c r="E106" s="18"/>
      <c r="F106" s="18"/>
      <c r="G106" s="15" t="str">
        <f t="shared" si="7"/>
        <v/>
      </c>
      <c r="H106" s="16"/>
      <c r="I106" s="17" t="str">
        <f>IF(H106&lt;&gt;"",H106,IF(G106="","",ROUND(G106*IFERROR(INDEX(Reference!$B$44:$B$50,MATCH(C106,Reference!$A$44:$A$50,0)),0),0)))</f>
        <v/>
      </c>
      <c r="J106" s="16"/>
      <c r="K106" s="16"/>
      <c r="L106" s="17" t="str">
        <f t="shared" si="8"/>
        <v/>
      </c>
      <c r="M106" s="17" t="str">
        <f>IFERROR(INDEX(Roster!$D$5:$D$40,MATCH(B106,Roster!$A$5:$A$40,0)),"")</f>
        <v/>
      </c>
      <c r="N106" s="17" t="str">
        <f t="shared" si="9"/>
        <v/>
      </c>
      <c r="O106" s="17" t="str">
        <f>IF(OR(C106="Bullpen",C106="Game"),IFERROR(INDEX(Reference!$B$61:$B$62,MATCH(C106,Reference!$A$61:$A$62,0)),""),IF(D106="","",VLOOKUP(D106,Reference!$A$6:$B$11,2,TRUE())))</f>
        <v/>
      </c>
      <c r="P106" s="17" t="str">
        <f>IF(N106="","",VLOOKUP(MAX(N106,0),Reference!$A$17:$B$20,2,TRUE()))</f>
        <v/>
      </c>
      <c r="Q106" s="17" t="str">
        <f>IF(AND(OR(I106="",O106="",P106=""),OR(R106="",W106=""),OR(X106="",AC106="")),"",IF(OR(I106="",O106="",P106=""),0,I106*O106*P106)+IF(OR(R106="",W106=""),0,R106*IFERROR(INDEX(Reference!$B$61:$B$62,MATCH("Bullpen",Reference!$A$61:$A$62,0)),0)*W106)+IF(OR(X106="",AC106=""),0,X106*VLOOKUP(60,Reference!$A$6:$B$11,2,TRUE())*AC106))</f>
        <v/>
      </c>
      <c r="R106" s="16"/>
      <c r="S106" s="16"/>
      <c r="T106" s="16"/>
      <c r="U106" s="17" t="str">
        <f t="shared" si="10"/>
        <v/>
      </c>
      <c r="V106" s="17" t="str">
        <f t="shared" si="11"/>
        <v/>
      </c>
      <c r="W106" s="17" t="str">
        <f>IF(V106="","",VLOOKUP(MAX(V106,0),Reference!$A$17:$B$20,2,TRUE()))</f>
        <v/>
      </c>
      <c r="X106" s="16"/>
      <c r="Y106" s="16"/>
      <c r="Z106" s="16"/>
      <c r="AA106" s="17" t="str">
        <f t="shared" si="12"/>
        <v/>
      </c>
      <c r="AB106" s="17" t="str">
        <f t="shared" si="13"/>
        <v/>
      </c>
      <c r="AC106" s="17" t="str">
        <f>IF(AB106="","",VLOOKUP(MAX(AB106,0),Reference!$A$17:$B$20,2,TRUE()))</f>
        <v/>
      </c>
      <c r="AD106" s="16"/>
    </row>
    <row r="107" spans="1:30" x14ac:dyDescent="0.3">
      <c r="A107" s="19"/>
      <c r="B107" s="16"/>
      <c r="C107" s="16"/>
      <c r="D107" s="16"/>
      <c r="E107" s="18"/>
      <c r="F107" s="18"/>
      <c r="G107" s="15" t="str">
        <f t="shared" si="7"/>
        <v/>
      </c>
      <c r="H107" s="16"/>
      <c r="I107" s="17" t="str">
        <f>IF(H107&lt;&gt;"",H107,IF(G107="","",ROUND(G107*IFERROR(INDEX(Reference!$B$44:$B$50,MATCH(C107,Reference!$A$44:$A$50,0)),0),0)))</f>
        <v/>
      </c>
      <c r="J107" s="16"/>
      <c r="K107" s="16"/>
      <c r="L107" s="17" t="str">
        <f t="shared" si="8"/>
        <v/>
      </c>
      <c r="M107" s="17" t="str">
        <f>IFERROR(INDEX(Roster!$D$5:$D$40,MATCH(B107,Roster!$A$5:$A$40,0)),"")</f>
        <v/>
      </c>
      <c r="N107" s="17" t="str">
        <f t="shared" si="9"/>
        <v/>
      </c>
      <c r="O107" s="17" t="str">
        <f>IF(OR(C107="Bullpen",C107="Game"),IFERROR(INDEX(Reference!$B$61:$B$62,MATCH(C107,Reference!$A$61:$A$62,0)),""),IF(D107="","",VLOOKUP(D107,Reference!$A$6:$B$11,2,TRUE())))</f>
        <v/>
      </c>
      <c r="P107" s="17" t="str">
        <f>IF(N107="","",VLOOKUP(MAX(N107,0),Reference!$A$17:$B$20,2,TRUE()))</f>
        <v/>
      </c>
      <c r="Q107" s="17" t="str">
        <f>IF(AND(OR(I107="",O107="",P107=""),OR(R107="",W107=""),OR(X107="",AC107="")),"",IF(OR(I107="",O107="",P107=""),0,I107*O107*P107)+IF(OR(R107="",W107=""),0,R107*IFERROR(INDEX(Reference!$B$61:$B$62,MATCH("Bullpen",Reference!$A$61:$A$62,0)),0)*W107)+IF(OR(X107="",AC107=""),0,X107*VLOOKUP(60,Reference!$A$6:$B$11,2,TRUE())*AC107))</f>
        <v/>
      </c>
      <c r="R107" s="16"/>
      <c r="S107" s="16"/>
      <c r="T107" s="16"/>
      <c r="U107" s="17" t="str">
        <f t="shared" si="10"/>
        <v/>
      </c>
      <c r="V107" s="17" t="str">
        <f t="shared" si="11"/>
        <v/>
      </c>
      <c r="W107" s="17" t="str">
        <f>IF(V107="","",VLOOKUP(MAX(V107,0),Reference!$A$17:$B$20,2,TRUE()))</f>
        <v/>
      </c>
      <c r="X107" s="16"/>
      <c r="Y107" s="16"/>
      <c r="Z107" s="16"/>
      <c r="AA107" s="17" t="str">
        <f t="shared" si="12"/>
        <v/>
      </c>
      <c r="AB107" s="17" t="str">
        <f t="shared" si="13"/>
        <v/>
      </c>
      <c r="AC107" s="17" t="str">
        <f>IF(AB107="","",VLOOKUP(MAX(AB107,0),Reference!$A$17:$B$20,2,TRUE()))</f>
        <v/>
      </c>
      <c r="AD107" s="16"/>
    </row>
    <row r="108" spans="1:30" x14ac:dyDescent="0.3">
      <c r="A108" s="19"/>
      <c r="B108" s="16"/>
      <c r="C108" s="16"/>
      <c r="D108" s="16"/>
      <c r="E108" s="18"/>
      <c r="F108" s="18"/>
      <c r="G108" s="15" t="str">
        <f t="shared" si="7"/>
        <v/>
      </c>
      <c r="H108" s="16"/>
      <c r="I108" s="17" t="str">
        <f>IF(H108&lt;&gt;"",H108,IF(G108="","",ROUND(G108*IFERROR(INDEX(Reference!$B$44:$B$50,MATCH(C108,Reference!$A$44:$A$50,0)),0),0)))</f>
        <v/>
      </c>
      <c r="J108" s="16"/>
      <c r="K108" s="16"/>
      <c r="L108" s="17" t="str">
        <f t="shared" si="8"/>
        <v/>
      </c>
      <c r="M108" s="17" t="str">
        <f>IFERROR(INDEX(Roster!$D$5:$D$40,MATCH(B108,Roster!$A$5:$A$40,0)),"")</f>
        <v/>
      </c>
      <c r="N108" s="17" t="str">
        <f t="shared" si="9"/>
        <v/>
      </c>
      <c r="O108" s="17" t="str">
        <f>IF(OR(C108="Bullpen",C108="Game"),IFERROR(INDEX(Reference!$B$61:$B$62,MATCH(C108,Reference!$A$61:$A$62,0)),""),IF(D108="","",VLOOKUP(D108,Reference!$A$6:$B$11,2,TRUE())))</f>
        <v/>
      </c>
      <c r="P108" s="17" t="str">
        <f>IF(N108="","",VLOOKUP(MAX(N108,0),Reference!$A$17:$B$20,2,TRUE()))</f>
        <v/>
      </c>
      <c r="Q108" s="17" t="str">
        <f>IF(AND(OR(I108="",O108="",P108=""),OR(R108="",W108=""),OR(X108="",AC108="")),"",IF(OR(I108="",O108="",P108=""),0,I108*O108*P108)+IF(OR(R108="",W108=""),0,R108*IFERROR(INDEX(Reference!$B$61:$B$62,MATCH("Bullpen",Reference!$A$61:$A$62,0)),0)*W108)+IF(OR(X108="",AC108=""),0,X108*VLOOKUP(60,Reference!$A$6:$B$11,2,TRUE())*AC108))</f>
        <v/>
      </c>
      <c r="R108" s="16"/>
      <c r="S108" s="16"/>
      <c r="T108" s="16"/>
      <c r="U108" s="17" t="str">
        <f t="shared" si="10"/>
        <v/>
      </c>
      <c r="V108" s="17" t="str">
        <f t="shared" si="11"/>
        <v/>
      </c>
      <c r="W108" s="17" t="str">
        <f>IF(V108="","",VLOOKUP(MAX(V108,0),Reference!$A$17:$B$20,2,TRUE()))</f>
        <v/>
      </c>
      <c r="X108" s="16"/>
      <c r="Y108" s="16"/>
      <c r="Z108" s="16"/>
      <c r="AA108" s="17" t="str">
        <f t="shared" si="12"/>
        <v/>
      </c>
      <c r="AB108" s="17" t="str">
        <f t="shared" si="13"/>
        <v/>
      </c>
      <c r="AC108" s="17" t="str">
        <f>IF(AB108="","",VLOOKUP(MAX(AB108,0),Reference!$A$17:$B$20,2,TRUE()))</f>
        <v/>
      </c>
      <c r="AD108" s="16"/>
    </row>
    <row r="109" spans="1:30" x14ac:dyDescent="0.3">
      <c r="A109" s="19"/>
      <c r="B109" s="16"/>
      <c r="C109" s="16"/>
      <c r="D109" s="16"/>
      <c r="E109" s="18"/>
      <c r="F109" s="18"/>
      <c r="G109" s="15" t="str">
        <f t="shared" si="7"/>
        <v/>
      </c>
      <c r="H109" s="16"/>
      <c r="I109" s="17" t="str">
        <f>IF(H109&lt;&gt;"",H109,IF(G109="","",ROUND(G109*IFERROR(INDEX(Reference!$B$44:$B$50,MATCH(C109,Reference!$A$44:$A$50,0)),0),0)))</f>
        <v/>
      </c>
      <c r="J109" s="16"/>
      <c r="K109" s="16"/>
      <c r="L109" s="17" t="str">
        <f t="shared" si="8"/>
        <v/>
      </c>
      <c r="M109" s="17" t="str">
        <f>IFERROR(INDEX(Roster!$D$5:$D$40,MATCH(B109,Roster!$A$5:$A$40,0)),"")</f>
        <v/>
      </c>
      <c r="N109" s="17" t="str">
        <f t="shared" si="9"/>
        <v/>
      </c>
      <c r="O109" s="17" t="str">
        <f>IF(OR(C109="Bullpen",C109="Game"),IFERROR(INDEX(Reference!$B$61:$B$62,MATCH(C109,Reference!$A$61:$A$62,0)),""),IF(D109="","",VLOOKUP(D109,Reference!$A$6:$B$11,2,TRUE())))</f>
        <v/>
      </c>
      <c r="P109" s="17" t="str">
        <f>IF(N109="","",VLOOKUP(MAX(N109,0),Reference!$A$17:$B$20,2,TRUE()))</f>
        <v/>
      </c>
      <c r="Q109" s="17" t="str">
        <f>IF(AND(OR(I109="",O109="",P109=""),OR(R109="",W109=""),OR(X109="",AC109="")),"",IF(OR(I109="",O109="",P109=""),0,I109*O109*P109)+IF(OR(R109="",W109=""),0,R109*IFERROR(INDEX(Reference!$B$61:$B$62,MATCH("Bullpen",Reference!$A$61:$A$62,0)),0)*W109)+IF(OR(X109="",AC109=""),0,X109*VLOOKUP(60,Reference!$A$6:$B$11,2,TRUE())*AC109))</f>
        <v/>
      </c>
      <c r="R109" s="16"/>
      <c r="S109" s="16"/>
      <c r="T109" s="16"/>
      <c r="U109" s="17" t="str">
        <f t="shared" si="10"/>
        <v/>
      </c>
      <c r="V109" s="17" t="str">
        <f t="shared" si="11"/>
        <v/>
      </c>
      <c r="W109" s="17" t="str">
        <f>IF(V109="","",VLOOKUP(MAX(V109,0),Reference!$A$17:$B$20,2,TRUE()))</f>
        <v/>
      </c>
      <c r="X109" s="16"/>
      <c r="Y109" s="16"/>
      <c r="Z109" s="16"/>
      <c r="AA109" s="17" t="str">
        <f t="shared" si="12"/>
        <v/>
      </c>
      <c r="AB109" s="17" t="str">
        <f t="shared" si="13"/>
        <v/>
      </c>
      <c r="AC109" s="17" t="str">
        <f>IF(AB109="","",VLOOKUP(MAX(AB109,0),Reference!$A$17:$B$20,2,TRUE()))</f>
        <v/>
      </c>
      <c r="AD109" s="16"/>
    </row>
    <row r="110" spans="1:30" x14ac:dyDescent="0.3">
      <c r="A110" s="19"/>
      <c r="B110" s="16"/>
      <c r="C110" s="16"/>
      <c r="D110" s="16"/>
      <c r="E110" s="18"/>
      <c r="F110" s="18"/>
      <c r="G110" s="15" t="str">
        <f t="shared" si="7"/>
        <v/>
      </c>
      <c r="H110" s="16"/>
      <c r="I110" s="17" t="str">
        <f>IF(H110&lt;&gt;"",H110,IF(G110="","",ROUND(G110*IFERROR(INDEX(Reference!$B$44:$B$50,MATCH(C110,Reference!$A$44:$A$50,0)),0),0)))</f>
        <v/>
      </c>
      <c r="J110" s="16"/>
      <c r="K110" s="16"/>
      <c r="L110" s="17" t="str">
        <f t="shared" si="8"/>
        <v/>
      </c>
      <c r="M110" s="17" t="str">
        <f>IFERROR(INDEX(Roster!$D$5:$D$40,MATCH(B110,Roster!$A$5:$A$40,0)),"")</f>
        <v/>
      </c>
      <c r="N110" s="17" t="str">
        <f t="shared" si="9"/>
        <v/>
      </c>
      <c r="O110" s="17" t="str">
        <f>IF(OR(C110="Bullpen",C110="Game"),IFERROR(INDEX(Reference!$B$61:$B$62,MATCH(C110,Reference!$A$61:$A$62,0)),""),IF(D110="","",VLOOKUP(D110,Reference!$A$6:$B$11,2,TRUE())))</f>
        <v/>
      </c>
      <c r="P110" s="17" t="str">
        <f>IF(N110="","",VLOOKUP(MAX(N110,0),Reference!$A$17:$B$20,2,TRUE()))</f>
        <v/>
      </c>
      <c r="Q110" s="17" t="str">
        <f>IF(AND(OR(I110="",O110="",P110=""),OR(R110="",W110=""),OR(X110="",AC110="")),"",IF(OR(I110="",O110="",P110=""),0,I110*O110*P110)+IF(OR(R110="",W110=""),0,R110*IFERROR(INDEX(Reference!$B$61:$B$62,MATCH("Bullpen",Reference!$A$61:$A$62,0)),0)*W110)+IF(OR(X110="",AC110=""),0,X110*VLOOKUP(60,Reference!$A$6:$B$11,2,TRUE())*AC110))</f>
        <v/>
      </c>
      <c r="R110" s="16"/>
      <c r="S110" s="16"/>
      <c r="T110" s="16"/>
      <c r="U110" s="17" t="str">
        <f t="shared" si="10"/>
        <v/>
      </c>
      <c r="V110" s="17" t="str">
        <f t="shared" si="11"/>
        <v/>
      </c>
      <c r="W110" s="17" t="str">
        <f>IF(V110="","",VLOOKUP(MAX(V110,0),Reference!$A$17:$B$20,2,TRUE()))</f>
        <v/>
      </c>
      <c r="X110" s="16"/>
      <c r="Y110" s="16"/>
      <c r="Z110" s="16"/>
      <c r="AA110" s="17" t="str">
        <f t="shared" si="12"/>
        <v/>
      </c>
      <c r="AB110" s="17" t="str">
        <f t="shared" si="13"/>
        <v/>
      </c>
      <c r="AC110" s="17" t="str">
        <f>IF(AB110="","",VLOOKUP(MAX(AB110,0),Reference!$A$17:$B$20,2,TRUE()))</f>
        <v/>
      </c>
      <c r="AD110" s="16"/>
    </row>
    <row r="111" spans="1:30" x14ac:dyDescent="0.3">
      <c r="A111" s="19"/>
      <c r="B111" s="16"/>
      <c r="C111" s="16"/>
      <c r="D111" s="16"/>
      <c r="E111" s="18"/>
      <c r="F111" s="18"/>
      <c r="G111" s="15" t="str">
        <f t="shared" si="7"/>
        <v/>
      </c>
      <c r="H111" s="16"/>
      <c r="I111" s="17" t="str">
        <f>IF(H111&lt;&gt;"",H111,IF(G111="","",ROUND(G111*IFERROR(INDEX(Reference!$B$44:$B$50,MATCH(C111,Reference!$A$44:$A$50,0)),0),0)))</f>
        <v/>
      </c>
      <c r="J111" s="16"/>
      <c r="K111" s="16"/>
      <c r="L111" s="17" t="str">
        <f t="shared" si="8"/>
        <v/>
      </c>
      <c r="M111" s="17" t="str">
        <f>IFERROR(INDEX(Roster!$D$5:$D$40,MATCH(B111,Roster!$A$5:$A$40,0)),"")</f>
        <v/>
      </c>
      <c r="N111" s="17" t="str">
        <f t="shared" si="9"/>
        <v/>
      </c>
      <c r="O111" s="17" t="str">
        <f>IF(OR(C111="Bullpen",C111="Game"),IFERROR(INDEX(Reference!$B$61:$B$62,MATCH(C111,Reference!$A$61:$A$62,0)),""),IF(D111="","",VLOOKUP(D111,Reference!$A$6:$B$11,2,TRUE())))</f>
        <v/>
      </c>
      <c r="P111" s="17" t="str">
        <f>IF(N111="","",VLOOKUP(MAX(N111,0),Reference!$A$17:$B$20,2,TRUE()))</f>
        <v/>
      </c>
      <c r="Q111" s="17" t="str">
        <f>IF(AND(OR(I111="",O111="",P111=""),OR(R111="",W111=""),OR(X111="",AC111="")),"",IF(OR(I111="",O111="",P111=""),0,I111*O111*P111)+IF(OR(R111="",W111=""),0,R111*IFERROR(INDEX(Reference!$B$61:$B$62,MATCH("Bullpen",Reference!$A$61:$A$62,0)),0)*W111)+IF(OR(X111="",AC111=""),0,X111*VLOOKUP(60,Reference!$A$6:$B$11,2,TRUE())*AC111))</f>
        <v/>
      </c>
      <c r="R111" s="16"/>
      <c r="S111" s="16"/>
      <c r="T111" s="16"/>
      <c r="U111" s="17" t="str">
        <f t="shared" si="10"/>
        <v/>
      </c>
      <c r="V111" s="17" t="str">
        <f t="shared" si="11"/>
        <v/>
      </c>
      <c r="W111" s="17" t="str">
        <f>IF(V111="","",VLOOKUP(MAX(V111,0),Reference!$A$17:$B$20,2,TRUE()))</f>
        <v/>
      </c>
      <c r="X111" s="16"/>
      <c r="Y111" s="16"/>
      <c r="Z111" s="16"/>
      <c r="AA111" s="17" t="str">
        <f t="shared" si="12"/>
        <v/>
      </c>
      <c r="AB111" s="17" t="str">
        <f t="shared" si="13"/>
        <v/>
      </c>
      <c r="AC111" s="17" t="str">
        <f>IF(AB111="","",VLOOKUP(MAX(AB111,0),Reference!$A$17:$B$20,2,TRUE()))</f>
        <v/>
      </c>
      <c r="AD111" s="16"/>
    </row>
    <row r="112" spans="1:30" x14ac:dyDescent="0.3">
      <c r="A112" s="19"/>
      <c r="B112" s="16"/>
      <c r="C112" s="16"/>
      <c r="D112" s="16"/>
      <c r="E112" s="18"/>
      <c r="F112" s="18"/>
      <c r="G112" s="15" t="str">
        <f t="shared" si="7"/>
        <v/>
      </c>
      <c r="H112" s="16"/>
      <c r="I112" s="17" t="str">
        <f>IF(H112&lt;&gt;"",H112,IF(G112="","",ROUND(G112*IFERROR(INDEX(Reference!$B$44:$B$50,MATCH(C112,Reference!$A$44:$A$50,0)),0),0)))</f>
        <v/>
      </c>
      <c r="J112" s="16"/>
      <c r="K112" s="16"/>
      <c r="L112" s="17" t="str">
        <f t="shared" si="8"/>
        <v/>
      </c>
      <c r="M112" s="17" t="str">
        <f>IFERROR(INDEX(Roster!$D$5:$D$40,MATCH(B112,Roster!$A$5:$A$40,0)),"")</f>
        <v/>
      </c>
      <c r="N112" s="17" t="str">
        <f t="shared" si="9"/>
        <v/>
      </c>
      <c r="O112" s="17" t="str">
        <f>IF(OR(C112="Bullpen",C112="Game"),IFERROR(INDEX(Reference!$B$61:$B$62,MATCH(C112,Reference!$A$61:$A$62,0)),""),IF(D112="","",VLOOKUP(D112,Reference!$A$6:$B$11,2,TRUE())))</f>
        <v/>
      </c>
      <c r="P112" s="17" t="str">
        <f>IF(N112="","",VLOOKUP(MAX(N112,0),Reference!$A$17:$B$20,2,TRUE()))</f>
        <v/>
      </c>
      <c r="Q112" s="17" t="str">
        <f>IF(AND(OR(I112="",O112="",P112=""),OR(R112="",W112=""),OR(X112="",AC112="")),"",IF(OR(I112="",O112="",P112=""),0,I112*O112*P112)+IF(OR(R112="",W112=""),0,R112*IFERROR(INDEX(Reference!$B$61:$B$62,MATCH("Bullpen",Reference!$A$61:$A$62,0)),0)*W112)+IF(OR(X112="",AC112=""),0,X112*VLOOKUP(60,Reference!$A$6:$B$11,2,TRUE())*AC112))</f>
        <v/>
      </c>
      <c r="R112" s="16"/>
      <c r="S112" s="16"/>
      <c r="T112" s="16"/>
      <c r="U112" s="17" t="str">
        <f t="shared" si="10"/>
        <v/>
      </c>
      <c r="V112" s="17" t="str">
        <f t="shared" si="11"/>
        <v/>
      </c>
      <c r="W112" s="17" t="str">
        <f>IF(V112="","",VLOOKUP(MAX(V112,0),Reference!$A$17:$B$20,2,TRUE()))</f>
        <v/>
      </c>
      <c r="X112" s="16"/>
      <c r="Y112" s="16"/>
      <c r="Z112" s="16"/>
      <c r="AA112" s="17" t="str">
        <f t="shared" si="12"/>
        <v/>
      </c>
      <c r="AB112" s="17" t="str">
        <f t="shared" si="13"/>
        <v/>
      </c>
      <c r="AC112" s="17" t="str">
        <f>IF(AB112="","",VLOOKUP(MAX(AB112,0),Reference!$A$17:$B$20,2,TRUE()))</f>
        <v/>
      </c>
      <c r="AD112" s="16"/>
    </row>
    <row r="113" spans="1:30" x14ac:dyDescent="0.3">
      <c r="A113" s="19"/>
      <c r="B113" s="16"/>
      <c r="C113" s="16"/>
      <c r="D113" s="16"/>
      <c r="E113" s="18"/>
      <c r="F113" s="18"/>
      <c r="G113" s="15" t="str">
        <f t="shared" si="7"/>
        <v/>
      </c>
      <c r="H113" s="16"/>
      <c r="I113" s="17" t="str">
        <f>IF(H113&lt;&gt;"",H113,IF(G113="","",ROUND(G113*IFERROR(INDEX(Reference!$B$44:$B$50,MATCH(C113,Reference!$A$44:$A$50,0)),0),0)))</f>
        <v/>
      </c>
      <c r="J113" s="16"/>
      <c r="K113" s="16"/>
      <c r="L113" s="17" t="str">
        <f t="shared" si="8"/>
        <v/>
      </c>
      <c r="M113" s="17" t="str">
        <f>IFERROR(INDEX(Roster!$D$5:$D$40,MATCH(B113,Roster!$A$5:$A$40,0)),"")</f>
        <v/>
      </c>
      <c r="N113" s="17" t="str">
        <f t="shared" si="9"/>
        <v/>
      </c>
      <c r="O113" s="17" t="str">
        <f>IF(OR(C113="Bullpen",C113="Game"),IFERROR(INDEX(Reference!$B$61:$B$62,MATCH(C113,Reference!$A$61:$A$62,0)),""),IF(D113="","",VLOOKUP(D113,Reference!$A$6:$B$11,2,TRUE())))</f>
        <v/>
      </c>
      <c r="P113" s="17" t="str">
        <f>IF(N113="","",VLOOKUP(MAX(N113,0),Reference!$A$17:$B$20,2,TRUE()))</f>
        <v/>
      </c>
      <c r="Q113" s="17" t="str">
        <f>IF(AND(OR(I113="",O113="",P113=""),OR(R113="",W113=""),OR(X113="",AC113="")),"",IF(OR(I113="",O113="",P113=""),0,I113*O113*P113)+IF(OR(R113="",W113=""),0,R113*IFERROR(INDEX(Reference!$B$61:$B$62,MATCH("Bullpen",Reference!$A$61:$A$62,0)),0)*W113)+IF(OR(X113="",AC113=""),0,X113*VLOOKUP(60,Reference!$A$6:$B$11,2,TRUE())*AC113))</f>
        <v/>
      </c>
      <c r="R113" s="16"/>
      <c r="S113" s="16"/>
      <c r="T113" s="16"/>
      <c r="U113" s="17" t="str">
        <f t="shared" si="10"/>
        <v/>
      </c>
      <c r="V113" s="17" t="str">
        <f t="shared" si="11"/>
        <v/>
      </c>
      <c r="W113" s="17" t="str">
        <f>IF(V113="","",VLOOKUP(MAX(V113,0),Reference!$A$17:$B$20,2,TRUE()))</f>
        <v/>
      </c>
      <c r="X113" s="16"/>
      <c r="Y113" s="16"/>
      <c r="Z113" s="16"/>
      <c r="AA113" s="17" t="str">
        <f t="shared" si="12"/>
        <v/>
      </c>
      <c r="AB113" s="17" t="str">
        <f t="shared" si="13"/>
        <v/>
      </c>
      <c r="AC113" s="17" t="str">
        <f>IF(AB113="","",VLOOKUP(MAX(AB113,0),Reference!$A$17:$B$20,2,TRUE()))</f>
        <v/>
      </c>
      <c r="AD113" s="16"/>
    </row>
    <row r="114" spans="1:30" x14ac:dyDescent="0.3">
      <c r="A114" s="19"/>
      <c r="B114" s="16"/>
      <c r="C114" s="16"/>
      <c r="D114" s="16"/>
      <c r="E114" s="18"/>
      <c r="F114" s="18"/>
      <c r="G114" s="15" t="str">
        <f t="shared" si="7"/>
        <v/>
      </c>
      <c r="H114" s="16"/>
      <c r="I114" s="17" t="str">
        <f>IF(H114&lt;&gt;"",H114,IF(G114="","",ROUND(G114*IFERROR(INDEX(Reference!$B$44:$B$50,MATCH(C114,Reference!$A$44:$A$50,0)),0),0)))</f>
        <v/>
      </c>
      <c r="J114" s="16"/>
      <c r="K114" s="16"/>
      <c r="L114" s="17" t="str">
        <f t="shared" si="8"/>
        <v/>
      </c>
      <c r="M114" s="17" t="str">
        <f>IFERROR(INDEX(Roster!$D$5:$D$40,MATCH(B114,Roster!$A$5:$A$40,0)),"")</f>
        <v/>
      </c>
      <c r="N114" s="17" t="str">
        <f t="shared" si="9"/>
        <v/>
      </c>
      <c r="O114" s="17" t="str">
        <f>IF(OR(C114="Bullpen",C114="Game"),IFERROR(INDEX(Reference!$B$61:$B$62,MATCH(C114,Reference!$A$61:$A$62,0)),""),IF(D114="","",VLOOKUP(D114,Reference!$A$6:$B$11,2,TRUE())))</f>
        <v/>
      </c>
      <c r="P114" s="17" t="str">
        <f>IF(N114="","",VLOOKUP(MAX(N114,0),Reference!$A$17:$B$20,2,TRUE()))</f>
        <v/>
      </c>
      <c r="Q114" s="17" t="str">
        <f>IF(AND(OR(I114="",O114="",P114=""),OR(R114="",W114=""),OR(X114="",AC114="")),"",IF(OR(I114="",O114="",P114=""),0,I114*O114*P114)+IF(OR(R114="",W114=""),0,R114*IFERROR(INDEX(Reference!$B$61:$B$62,MATCH("Bullpen",Reference!$A$61:$A$62,0)),0)*W114)+IF(OR(X114="",AC114=""),0,X114*VLOOKUP(60,Reference!$A$6:$B$11,2,TRUE())*AC114))</f>
        <v/>
      </c>
      <c r="R114" s="16"/>
      <c r="S114" s="16"/>
      <c r="T114" s="16"/>
      <c r="U114" s="17" t="str">
        <f t="shared" si="10"/>
        <v/>
      </c>
      <c r="V114" s="17" t="str">
        <f t="shared" si="11"/>
        <v/>
      </c>
      <c r="W114" s="17" t="str">
        <f>IF(V114="","",VLOOKUP(MAX(V114,0),Reference!$A$17:$B$20,2,TRUE()))</f>
        <v/>
      </c>
      <c r="X114" s="16"/>
      <c r="Y114" s="16"/>
      <c r="Z114" s="16"/>
      <c r="AA114" s="17" t="str">
        <f t="shared" si="12"/>
        <v/>
      </c>
      <c r="AB114" s="17" t="str">
        <f t="shared" si="13"/>
        <v/>
      </c>
      <c r="AC114" s="17" t="str">
        <f>IF(AB114="","",VLOOKUP(MAX(AB114,0),Reference!$A$17:$B$20,2,TRUE()))</f>
        <v/>
      </c>
      <c r="AD114" s="16"/>
    </row>
    <row r="115" spans="1:30" x14ac:dyDescent="0.3">
      <c r="A115" s="19"/>
      <c r="B115" s="16"/>
      <c r="C115" s="16"/>
      <c r="D115" s="16"/>
      <c r="E115" s="18"/>
      <c r="F115" s="18"/>
      <c r="G115" s="15" t="str">
        <f t="shared" si="7"/>
        <v/>
      </c>
      <c r="H115" s="16"/>
      <c r="I115" s="17" t="str">
        <f>IF(H115&lt;&gt;"",H115,IF(G115="","",ROUND(G115*IFERROR(INDEX(Reference!$B$44:$B$50,MATCH(C115,Reference!$A$44:$A$50,0)),0),0)))</f>
        <v/>
      </c>
      <c r="J115" s="16"/>
      <c r="K115" s="16"/>
      <c r="L115" s="17" t="str">
        <f t="shared" si="8"/>
        <v/>
      </c>
      <c r="M115" s="17" t="str">
        <f>IFERROR(INDEX(Roster!$D$5:$D$40,MATCH(B115,Roster!$A$5:$A$40,0)),"")</f>
        <v/>
      </c>
      <c r="N115" s="17" t="str">
        <f t="shared" si="9"/>
        <v/>
      </c>
      <c r="O115" s="17" t="str">
        <f>IF(OR(C115="Bullpen",C115="Game"),IFERROR(INDEX(Reference!$B$61:$B$62,MATCH(C115,Reference!$A$61:$A$62,0)),""),IF(D115="","",VLOOKUP(D115,Reference!$A$6:$B$11,2,TRUE())))</f>
        <v/>
      </c>
      <c r="P115" s="17" t="str">
        <f>IF(N115="","",VLOOKUP(MAX(N115,0),Reference!$A$17:$B$20,2,TRUE()))</f>
        <v/>
      </c>
      <c r="Q115" s="17" t="str">
        <f>IF(AND(OR(I115="",O115="",P115=""),OR(R115="",W115=""),OR(X115="",AC115="")),"",IF(OR(I115="",O115="",P115=""),0,I115*O115*P115)+IF(OR(R115="",W115=""),0,R115*IFERROR(INDEX(Reference!$B$61:$B$62,MATCH("Bullpen",Reference!$A$61:$A$62,0)),0)*W115)+IF(OR(X115="",AC115=""),0,X115*VLOOKUP(60,Reference!$A$6:$B$11,2,TRUE())*AC115))</f>
        <v/>
      </c>
      <c r="R115" s="16"/>
      <c r="S115" s="16"/>
      <c r="T115" s="16"/>
      <c r="U115" s="17" t="str">
        <f t="shared" si="10"/>
        <v/>
      </c>
      <c r="V115" s="17" t="str">
        <f t="shared" si="11"/>
        <v/>
      </c>
      <c r="W115" s="17" t="str">
        <f>IF(V115="","",VLOOKUP(MAX(V115,0),Reference!$A$17:$B$20,2,TRUE()))</f>
        <v/>
      </c>
      <c r="X115" s="16"/>
      <c r="Y115" s="16"/>
      <c r="Z115" s="16"/>
      <c r="AA115" s="17" t="str">
        <f t="shared" si="12"/>
        <v/>
      </c>
      <c r="AB115" s="17" t="str">
        <f t="shared" si="13"/>
        <v/>
      </c>
      <c r="AC115" s="17" t="str">
        <f>IF(AB115="","",VLOOKUP(MAX(AB115,0),Reference!$A$17:$B$20,2,TRUE()))</f>
        <v/>
      </c>
      <c r="AD115" s="16"/>
    </row>
    <row r="116" spans="1:30" x14ac:dyDescent="0.3">
      <c r="A116" s="19"/>
      <c r="B116" s="16"/>
      <c r="C116" s="16"/>
      <c r="D116" s="16"/>
      <c r="E116" s="18"/>
      <c r="F116" s="18"/>
      <c r="G116" s="15" t="str">
        <f t="shared" si="7"/>
        <v/>
      </c>
      <c r="H116" s="16"/>
      <c r="I116" s="17" t="str">
        <f>IF(H116&lt;&gt;"",H116,IF(G116="","",ROUND(G116*IFERROR(INDEX(Reference!$B$44:$B$50,MATCH(C116,Reference!$A$44:$A$50,0)),0),0)))</f>
        <v/>
      </c>
      <c r="J116" s="16"/>
      <c r="K116" s="16"/>
      <c r="L116" s="17" t="str">
        <f t="shared" si="8"/>
        <v/>
      </c>
      <c r="M116" s="17" t="str">
        <f>IFERROR(INDEX(Roster!$D$5:$D$40,MATCH(B116,Roster!$A$5:$A$40,0)),"")</f>
        <v/>
      </c>
      <c r="N116" s="17" t="str">
        <f t="shared" si="9"/>
        <v/>
      </c>
      <c r="O116" s="17" t="str">
        <f>IF(OR(C116="Bullpen",C116="Game"),IFERROR(INDEX(Reference!$B$61:$B$62,MATCH(C116,Reference!$A$61:$A$62,0)),""),IF(D116="","",VLOOKUP(D116,Reference!$A$6:$B$11,2,TRUE())))</f>
        <v/>
      </c>
      <c r="P116" s="17" t="str">
        <f>IF(N116="","",VLOOKUP(MAX(N116,0),Reference!$A$17:$B$20,2,TRUE()))</f>
        <v/>
      </c>
      <c r="Q116" s="17" t="str">
        <f>IF(AND(OR(I116="",O116="",P116=""),OR(R116="",W116=""),OR(X116="",AC116="")),"",IF(OR(I116="",O116="",P116=""),0,I116*O116*P116)+IF(OR(R116="",W116=""),0,R116*IFERROR(INDEX(Reference!$B$61:$B$62,MATCH("Bullpen",Reference!$A$61:$A$62,0)),0)*W116)+IF(OR(X116="",AC116=""),0,X116*VLOOKUP(60,Reference!$A$6:$B$11,2,TRUE())*AC116))</f>
        <v/>
      </c>
      <c r="R116" s="16"/>
      <c r="S116" s="16"/>
      <c r="T116" s="16"/>
      <c r="U116" s="17" t="str">
        <f t="shared" si="10"/>
        <v/>
      </c>
      <c r="V116" s="17" t="str">
        <f t="shared" si="11"/>
        <v/>
      </c>
      <c r="W116" s="17" t="str">
        <f>IF(V116="","",VLOOKUP(MAX(V116,0),Reference!$A$17:$B$20,2,TRUE()))</f>
        <v/>
      </c>
      <c r="X116" s="16"/>
      <c r="Y116" s="16"/>
      <c r="Z116" s="16"/>
      <c r="AA116" s="17" t="str">
        <f t="shared" si="12"/>
        <v/>
      </c>
      <c r="AB116" s="17" t="str">
        <f t="shared" si="13"/>
        <v/>
      </c>
      <c r="AC116" s="17" t="str">
        <f>IF(AB116="","",VLOOKUP(MAX(AB116,0),Reference!$A$17:$B$20,2,TRUE()))</f>
        <v/>
      </c>
      <c r="AD116" s="16"/>
    </row>
    <row r="117" spans="1:30" x14ac:dyDescent="0.3">
      <c r="A117" s="19"/>
      <c r="B117" s="16"/>
      <c r="C117" s="16"/>
      <c r="D117" s="16"/>
      <c r="E117" s="18"/>
      <c r="F117" s="18"/>
      <c r="G117" s="15" t="str">
        <f t="shared" si="7"/>
        <v/>
      </c>
      <c r="H117" s="16"/>
      <c r="I117" s="17" t="str">
        <f>IF(H117&lt;&gt;"",H117,IF(G117="","",ROUND(G117*IFERROR(INDEX(Reference!$B$44:$B$50,MATCH(C117,Reference!$A$44:$A$50,0)),0),0)))</f>
        <v/>
      </c>
      <c r="J117" s="16"/>
      <c r="K117" s="16"/>
      <c r="L117" s="17" t="str">
        <f t="shared" si="8"/>
        <v/>
      </c>
      <c r="M117" s="17" t="str">
        <f>IFERROR(INDEX(Roster!$D$5:$D$40,MATCH(B117,Roster!$A$5:$A$40,0)),"")</f>
        <v/>
      </c>
      <c r="N117" s="17" t="str">
        <f t="shared" si="9"/>
        <v/>
      </c>
      <c r="O117" s="17" t="str">
        <f>IF(OR(C117="Bullpen",C117="Game"),IFERROR(INDEX(Reference!$B$61:$B$62,MATCH(C117,Reference!$A$61:$A$62,0)),""),IF(D117="","",VLOOKUP(D117,Reference!$A$6:$B$11,2,TRUE())))</f>
        <v/>
      </c>
      <c r="P117" s="17" t="str">
        <f>IF(N117="","",VLOOKUP(MAX(N117,0),Reference!$A$17:$B$20,2,TRUE()))</f>
        <v/>
      </c>
      <c r="Q117" s="17" t="str">
        <f>IF(AND(OR(I117="",O117="",P117=""),OR(R117="",W117=""),OR(X117="",AC117="")),"",IF(OR(I117="",O117="",P117=""),0,I117*O117*P117)+IF(OR(R117="",W117=""),0,R117*IFERROR(INDEX(Reference!$B$61:$B$62,MATCH("Bullpen",Reference!$A$61:$A$62,0)),0)*W117)+IF(OR(X117="",AC117=""),0,X117*VLOOKUP(60,Reference!$A$6:$B$11,2,TRUE())*AC117))</f>
        <v/>
      </c>
      <c r="R117" s="16"/>
      <c r="S117" s="16"/>
      <c r="T117" s="16"/>
      <c r="U117" s="17" t="str">
        <f t="shared" si="10"/>
        <v/>
      </c>
      <c r="V117" s="17" t="str">
        <f t="shared" si="11"/>
        <v/>
      </c>
      <c r="W117" s="17" t="str">
        <f>IF(V117="","",VLOOKUP(MAX(V117,0),Reference!$A$17:$B$20,2,TRUE()))</f>
        <v/>
      </c>
      <c r="X117" s="16"/>
      <c r="Y117" s="16"/>
      <c r="Z117" s="16"/>
      <c r="AA117" s="17" t="str">
        <f t="shared" si="12"/>
        <v/>
      </c>
      <c r="AB117" s="17" t="str">
        <f t="shared" si="13"/>
        <v/>
      </c>
      <c r="AC117" s="17" t="str">
        <f>IF(AB117="","",VLOOKUP(MAX(AB117,0),Reference!$A$17:$B$20,2,TRUE()))</f>
        <v/>
      </c>
      <c r="AD117" s="16"/>
    </row>
    <row r="118" spans="1:30" x14ac:dyDescent="0.3">
      <c r="A118" s="19"/>
      <c r="B118" s="16"/>
      <c r="C118" s="16"/>
      <c r="D118" s="16"/>
      <c r="E118" s="18"/>
      <c r="F118" s="18"/>
      <c r="G118" s="15" t="str">
        <f t="shared" si="7"/>
        <v/>
      </c>
      <c r="H118" s="16"/>
      <c r="I118" s="17" t="str">
        <f>IF(H118&lt;&gt;"",H118,IF(G118="","",ROUND(G118*IFERROR(INDEX(Reference!$B$44:$B$50,MATCH(C118,Reference!$A$44:$A$50,0)),0),0)))</f>
        <v/>
      </c>
      <c r="J118" s="16"/>
      <c r="K118" s="16"/>
      <c r="L118" s="17" t="str">
        <f t="shared" si="8"/>
        <v/>
      </c>
      <c r="M118" s="17" t="str">
        <f>IFERROR(INDEX(Roster!$D$5:$D$40,MATCH(B118,Roster!$A$5:$A$40,0)),"")</f>
        <v/>
      </c>
      <c r="N118" s="17" t="str">
        <f t="shared" si="9"/>
        <v/>
      </c>
      <c r="O118" s="17" t="str">
        <f>IF(OR(C118="Bullpen",C118="Game"),IFERROR(INDEX(Reference!$B$61:$B$62,MATCH(C118,Reference!$A$61:$A$62,0)),""),IF(D118="","",VLOOKUP(D118,Reference!$A$6:$B$11,2,TRUE())))</f>
        <v/>
      </c>
      <c r="P118" s="17" t="str">
        <f>IF(N118="","",VLOOKUP(MAX(N118,0),Reference!$A$17:$B$20,2,TRUE()))</f>
        <v/>
      </c>
      <c r="Q118" s="17" t="str">
        <f>IF(AND(OR(I118="",O118="",P118=""),OR(R118="",W118=""),OR(X118="",AC118="")),"",IF(OR(I118="",O118="",P118=""),0,I118*O118*P118)+IF(OR(R118="",W118=""),0,R118*IFERROR(INDEX(Reference!$B$61:$B$62,MATCH("Bullpen",Reference!$A$61:$A$62,0)),0)*W118)+IF(OR(X118="",AC118=""),0,X118*VLOOKUP(60,Reference!$A$6:$B$11,2,TRUE())*AC118))</f>
        <v/>
      </c>
      <c r="R118" s="16"/>
      <c r="S118" s="16"/>
      <c r="T118" s="16"/>
      <c r="U118" s="17" t="str">
        <f t="shared" si="10"/>
        <v/>
      </c>
      <c r="V118" s="17" t="str">
        <f t="shared" si="11"/>
        <v/>
      </c>
      <c r="W118" s="17" t="str">
        <f>IF(V118="","",VLOOKUP(MAX(V118,0),Reference!$A$17:$B$20,2,TRUE()))</f>
        <v/>
      </c>
      <c r="X118" s="16"/>
      <c r="Y118" s="16"/>
      <c r="Z118" s="16"/>
      <c r="AA118" s="17" t="str">
        <f t="shared" si="12"/>
        <v/>
      </c>
      <c r="AB118" s="17" t="str">
        <f t="shared" si="13"/>
        <v/>
      </c>
      <c r="AC118" s="17" t="str">
        <f>IF(AB118="","",VLOOKUP(MAX(AB118,0),Reference!$A$17:$B$20,2,TRUE()))</f>
        <v/>
      </c>
      <c r="AD118" s="16"/>
    </row>
    <row r="119" spans="1:30" x14ac:dyDescent="0.3">
      <c r="A119" s="19"/>
      <c r="B119" s="16"/>
      <c r="C119" s="16"/>
      <c r="D119" s="16"/>
      <c r="E119" s="18"/>
      <c r="F119" s="18"/>
      <c r="G119" s="15" t="str">
        <f t="shared" si="7"/>
        <v/>
      </c>
      <c r="H119" s="16"/>
      <c r="I119" s="17" t="str">
        <f>IF(H119&lt;&gt;"",H119,IF(G119="","",ROUND(G119*IFERROR(INDEX(Reference!$B$44:$B$50,MATCH(C119,Reference!$A$44:$A$50,0)),0),0)))</f>
        <v/>
      </c>
      <c r="J119" s="16"/>
      <c r="K119" s="16"/>
      <c r="L119" s="17" t="str">
        <f t="shared" si="8"/>
        <v/>
      </c>
      <c r="M119" s="17" t="str">
        <f>IFERROR(INDEX(Roster!$D$5:$D$40,MATCH(B119,Roster!$A$5:$A$40,0)),"")</f>
        <v/>
      </c>
      <c r="N119" s="17" t="str">
        <f t="shared" si="9"/>
        <v/>
      </c>
      <c r="O119" s="17" t="str">
        <f>IF(OR(C119="Bullpen",C119="Game"),IFERROR(INDEX(Reference!$B$61:$B$62,MATCH(C119,Reference!$A$61:$A$62,0)),""),IF(D119="","",VLOOKUP(D119,Reference!$A$6:$B$11,2,TRUE())))</f>
        <v/>
      </c>
      <c r="P119" s="17" t="str">
        <f>IF(N119="","",VLOOKUP(MAX(N119,0),Reference!$A$17:$B$20,2,TRUE()))</f>
        <v/>
      </c>
      <c r="Q119" s="17" t="str">
        <f>IF(AND(OR(I119="",O119="",P119=""),OR(R119="",W119=""),OR(X119="",AC119="")),"",IF(OR(I119="",O119="",P119=""),0,I119*O119*P119)+IF(OR(R119="",W119=""),0,R119*IFERROR(INDEX(Reference!$B$61:$B$62,MATCH("Bullpen",Reference!$A$61:$A$62,0)),0)*W119)+IF(OR(X119="",AC119=""),0,X119*VLOOKUP(60,Reference!$A$6:$B$11,2,TRUE())*AC119))</f>
        <v/>
      </c>
      <c r="R119" s="16"/>
      <c r="S119" s="16"/>
      <c r="T119" s="16"/>
      <c r="U119" s="17" t="str">
        <f t="shared" si="10"/>
        <v/>
      </c>
      <c r="V119" s="17" t="str">
        <f t="shared" si="11"/>
        <v/>
      </c>
      <c r="W119" s="17" t="str">
        <f>IF(V119="","",VLOOKUP(MAX(V119,0),Reference!$A$17:$B$20,2,TRUE()))</f>
        <v/>
      </c>
      <c r="X119" s="16"/>
      <c r="Y119" s="16"/>
      <c r="Z119" s="16"/>
      <c r="AA119" s="17" t="str">
        <f t="shared" si="12"/>
        <v/>
      </c>
      <c r="AB119" s="17" t="str">
        <f t="shared" si="13"/>
        <v/>
      </c>
      <c r="AC119" s="17" t="str">
        <f>IF(AB119="","",VLOOKUP(MAX(AB119,0),Reference!$A$17:$B$20,2,TRUE()))</f>
        <v/>
      </c>
      <c r="AD119" s="16"/>
    </row>
    <row r="120" spans="1:30" x14ac:dyDescent="0.3">
      <c r="A120" s="19"/>
      <c r="B120" s="16"/>
      <c r="C120" s="16"/>
      <c r="D120" s="16"/>
      <c r="E120" s="18"/>
      <c r="F120" s="18"/>
      <c r="G120" s="15" t="str">
        <f t="shared" si="7"/>
        <v/>
      </c>
      <c r="H120" s="16"/>
      <c r="I120" s="17" t="str">
        <f>IF(H120&lt;&gt;"",H120,IF(G120="","",ROUND(G120*IFERROR(INDEX(Reference!$B$44:$B$50,MATCH(C120,Reference!$A$44:$A$50,0)),0),0)))</f>
        <v/>
      </c>
      <c r="J120" s="16"/>
      <c r="K120" s="16"/>
      <c r="L120" s="17" t="str">
        <f t="shared" si="8"/>
        <v/>
      </c>
      <c r="M120" s="17" t="str">
        <f>IFERROR(INDEX(Roster!$D$5:$D$40,MATCH(B120,Roster!$A$5:$A$40,0)),"")</f>
        <v/>
      </c>
      <c r="N120" s="17" t="str">
        <f t="shared" si="9"/>
        <v/>
      </c>
      <c r="O120" s="17" t="str">
        <f>IF(OR(C120="Bullpen",C120="Game"),IFERROR(INDEX(Reference!$B$61:$B$62,MATCH(C120,Reference!$A$61:$A$62,0)),""),IF(D120="","",VLOOKUP(D120,Reference!$A$6:$B$11,2,TRUE())))</f>
        <v/>
      </c>
      <c r="P120" s="17" t="str">
        <f>IF(N120="","",VLOOKUP(MAX(N120,0),Reference!$A$17:$B$20,2,TRUE()))</f>
        <v/>
      </c>
      <c r="Q120" s="17" t="str">
        <f>IF(AND(OR(I120="",O120="",P120=""),OR(R120="",W120=""),OR(X120="",AC120="")),"",IF(OR(I120="",O120="",P120=""),0,I120*O120*P120)+IF(OR(R120="",W120=""),0,R120*IFERROR(INDEX(Reference!$B$61:$B$62,MATCH("Bullpen",Reference!$A$61:$A$62,0)),0)*W120)+IF(OR(X120="",AC120=""),0,X120*VLOOKUP(60,Reference!$A$6:$B$11,2,TRUE())*AC120))</f>
        <v/>
      </c>
      <c r="R120" s="16"/>
      <c r="S120" s="16"/>
      <c r="T120" s="16"/>
      <c r="U120" s="17" t="str">
        <f t="shared" si="10"/>
        <v/>
      </c>
      <c r="V120" s="17" t="str">
        <f t="shared" si="11"/>
        <v/>
      </c>
      <c r="W120" s="17" t="str">
        <f>IF(V120="","",VLOOKUP(MAX(V120,0),Reference!$A$17:$B$20,2,TRUE()))</f>
        <v/>
      </c>
      <c r="X120" s="16"/>
      <c r="Y120" s="16"/>
      <c r="Z120" s="16"/>
      <c r="AA120" s="17" t="str">
        <f t="shared" si="12"/>
        <v/>
      </c>
      <c r="AB120" s="17" t="str">
        <f t="shared" si="13"/>
        <v/>
      </c>
      <c r="AC120" s="17" t="str">
        <f>IF(AB120="","",VLOOKUP(MAX(AB120,0),Reference!$A$17:$B$20,2,TRUE()))</f>
        <v/>
      </c>
      <c r="AD120" s="16"/>
    </row>
    <row r="121" spans="1:30" x14ac:dyDescent="0.3">
      <c r="A121" s="19"/>
      <c r="B121" s="16"/>
      <c r="C121" s="16"/>
      <c r="D121" s="16"/>
      <c r="E121" s="18"/>
      <c r="F121" s="18"/>
      <c r="G121" s="15" t="str">
        <f t="shared" si="7"/>
        <v/>
      </c>
      <c r="H121" s="16"/>
      <c r="I121" s="17" t="str">
        <f>IF(H121&lt;&gt;"",H121,IF(G121="","",ROUND(G121*IFERROR(INDEX(Reference!$B$44:$B$50,MATCH(C121,Reference!$A$44:$A$50,0)),0),0)))</f>
        <v/>
      </c>
      <c r="J121" s="16"/>
      <c r="K121" s="16"/>
      <c r="L121" s="17" t="str">
        <f t="shared" si="8"/>
        <v/>
      </c>
      <c r="M121" s="17" t="str">
        <f>IFERROR(INDEX(Roster!$D$5:$D$40,MATCH(B121,Roster!$A$5:$A$40,0)),"")</f>
        <v/>
      </c>
      <c r="N121" s="17" t="str">
        <f t="shared" si="9"/>
        <v/>
      </c>
      <c r="O121" s="17" t="str">
        <f>IF(OR(C121="Bullpen",C121="Game"),IFERROR(INDEX(Reference!$B$61:$B$62,MATCH(C121,Reference!$A$61:$A$62,0)),""),IF(D121="","",VLOOKUP(D121,Reference!$A$6:$B$11,2,TRUE())))</f>
        <v/>
      </c>
      <c r="P121" s="17" t="str">
        <f>IF(N121="","",VLOOKUP(MAX(N121,0),Reference!$A$17:$B$20,2,TRUE()))</f>
        <v/>
      </c>
      <c r="Q121" s="17" t="str">
        <f>IF(AND(OR(I121="",O121="",P121=""),OR(R121="",W121=""),OR(X121="",AC121="")),"",IF(OR(I121="",O121="",P121=""),0,I121*O121*P121)+IF(OR(R121="",W121=""),0,R121*IFERROR(INDEX(Reference!$B$61:$B$62,MATCH("Bullpen",Reference!$A$61:$A$62,0)),0)*W121)+IF(OR(X121="",AC121=""),0,X121*VLOOKUP(60,Reference!$A$6:$B$11,2,TRUE())*AC121))</f>
        <v/>
      </c>
      <c r="R121" s="16"/>
      <c r="S121" s="16"/>
      <c r="T121" s="16"/>
      <c r="U121" s="17" t="str">
        <f t="shared" si="10"/>
        <v/>
      </c>
      <c r="V121" s="17" t="str">
        <f t="shared" si="11"/>
        <v/>
      </c>
      <c r="W121" s="17" t="str">
        <f>IF(V121="","",VLOOKUP(MAX(V121,0),Reference!$A$17:$B$20,2,TRUE()))</f>
        <v/>
      </c>
      <c r="X121" s="16"/>
      <c r="Y121" s="16"/>
      <c r="Z121" s="16"/>
      <c r="AA121" s="17" t="str">
        <f t="shared" si="12"/>
        <v/>
      </c>
      <c r="AB121" s="17" t="str">
        <f t="shared" si="13"/>
        <v/>
      </c>
      <c r="AC121" s="17" t="str">
        <f>IF(AB121="","",VLOOKUP(MAX(AB121,0),Reference!$A$17:$B$20,2,TRUE()))</f>
        <v/>
      </c>
      <c r="AD121" s="16"/>
    </row>
    <row r="122" spans="1:30" x14ac:dyDescent="0.3">
      <c r="A122" s="19"/>
      <c r="B122" s="16"/>
      <c r="C122" s="16"/>
      <c r="D122" s="16"/>
      <c r="E122" s="18"/>
      <c r="F122" s="18"/>
      <c r="G122" s="15" t="str">
        <f t="shared" si="7"/>
        <v/>
      </c>
      <c r="H122" s="16"/>
      <c r="I122" s="17" t="str">
        <f>IF(H122&lt;&gt;"",H122,IF(G122="","",ROUND(G122*IFERROR(INDEX(Reference!$B$44:$B$50,MATCH(C122,Reference!$A$44:$A$50,0)),0),0)))</f>
        <v/>
      </c>
      <c r="J122" s="16"/>
      <c r="K122" s="16"/>
      <c r="L122" s="17" t="str">
        <f t="shared" si="8"/>
        <v/>
      </c>
      <c r="M122" s="17" t="str">
        <f>IFERROR(INDEX(Roster!$D$5:$D$40,MATCH(B122,Roster!$A$5:$A$40,0)),"")</f>
        <v/>
      </c>
      <c r="N122" s="17" t="str">
        <f t="shared" si="9"/>
        <v/>
      </c>
      <c r="O122" s="17" t="str">
        <f>IF(OR(C122="Bullpen",C122="Game"),IFERROR(INDEX(Reference!$B$61:$B$62,MATCH(C122,Reference!$A$61:$A$62,0)),""),IF(D122="","",VLOOKUP(D122,Reference!$A$6:$B$11,2,TRUE())))</f>
        <v/>
      </c>
      <c r="P122" s="17" t="str">
        <f>IF(N122="","",VLOOKUP(MAX(N122,0),Reference!$A$17:$B$20,2,TRUE()))</f>
        <v/>
      </c>
      <c r="Q122" s="17" t="str">
        <f>IF(AND(OR(I122="",O122="",P122=""),OR(R122="",W122=""),OR(X122="",AC122="")),"",IF(OR(I122="",O122="",P122=""),0,I122*O122*P122)+IF(OR(R122="",W122=""),0,R122*IFERROR(INDEX(Reference!$B$61:$B$62,MATCH("Bullpen",Reference!$A$61:$A$62,0)),0)*W122)+IF(OR(X122="",AC122=""),0,X122*VLOOKUP(60,Reference!$A$6:$B$11,2,TRUE())*AC122))</f>
        <v/>
      </c>
      <c r="R122" s="16"/>
      <c r="S122" s="16"/>
      <c r="T122" s="16"/>
      <c r="U122" s="17" t="str">
        <f t="shared" si="10"/>
        <v/>
      </c>
      <c r="V122" s="17" t="str">
        <f t="shared" si="11"/>
        <v/>
      </c>
      <c r="W122" s="17" t="str">
        <f>IF(V122="","",VLOOKUP(MAX(V122,0),Reference!$A$17:$B$20,2,TRUE()))</f>
        <v/>
      </c>
      <c r="X122" s="16"/>
      <c r="Y122" s="16"/>
      <c r="Z122" s="16"/>
      <c r="AA122" s="17" t="str">
        <f t="shared" si="12"/>
        <v/>
      </c>
      <c r="AB122" s="17" t="str">
        <f t="shared" si="13"/>
        <v/>
      </c>
      <c r="AC122" s="17" t="str">
        <f>IF(AB122="","",VLOOKUP(MAX(AB122,0),Reference!$A$17:$B$20,2,TRUE()))</f>
        <v/>
      </c>
      <c r="AD122" s="16"/>
    </row>
    <row r="123" spans="1:30" x14ac:dyDescent="0.3">
      <c r="A123" s="19"/>
      <c r="B123" s="16"/>
      <c r="C123" s="16"/>
      <c r="D123" s="16"/>
      <c r="E123" s="18"/>
      <c r="F123" s="18"/>
      <c r="G123" s="15" t="str">
        <f t="shared" si="7"/>
        <v/>
      </c>
      <c r="H123" s="16"/>
      <c r="I123" s="17" t="str">
        <f>IF(H123&lt;&gt;"",H123,IF(G123="","",ROUND(G123*IFERROR(INDEX(Reference!$B$44:$B$50,MATCH(C123,Reference!$A$44:$A$50,0)),0),0)))</f>
        <v/>
      </c>
      <c r="J123" s="16"/>
      <c r="K123" s="16"/>
      <c r="L123" s="17" t="str">
        <f t="shared" si="8"/>
        <v/>
      </c>
      <c r="M123" s="17" t="str">
        <f>IFERROR(INDEX(Roster!$D$5:$D$40,MATCH(B123,Roster!$A$5:$A$40,0)),"")</f>
        <v/>
      </c>
      <c r="N123" s="17" t="str">
        <f t="shared" si="9"/>
        <v/>
      </c>
      <c r="O123" s="17" t="str">
        <f>IF(OR(C123="Bullpen",C123="Game"),IFERROR(INDEX(Reference!$B$61:$B$62,MATCH(C123,Reference!$A$61:$A$62,0)),""),IF(D123="","",VLOOKUP(D123,Reference!$A$6:$B$11,2,TRUE())))</f>
        <v/>
      </c>
      <c r="P123" s="17" t="str">
        <f>IF(N123="","",VLOOKUP(MAX(N123,0),Reference!$A$17:$B$20,2,TRUE()))</f>
        <v/>
      </c>
      <c r="Q123" s="17" t="str">
        <f>IF(AND(OR(I123="",O123="",P123=""),OR(R123="",W123=""),OR(X123="",AC123="")),"",IF(OR(I123="",O123="",P123=""),0,I123*O123*P123)+IF(OR(R123="",W123=""),0,R123*IFERROR(INDEX(Reference!$B$61:$B$62,MATCH("Bullpen",Reference!$A$61:$A$62,0)),0)*W123)+IF(OR(X123="",AC123=""),0,X123*VLOOKUP(60,Reference!$A$6:$B$11,2,TRUE())*AC123))</f>
        <v/>
      </c>
      <c r="R123" s="16"/>
      <c r="S123" s="16"/>
      <c r="T123" s="16"/>
      <c r="U123" s="17" t="str">
        <f t="shared" si="10"/>
        <v/>
      </c>
      <c r="V123" s="17" t="str">
        <f t="shared" si="11"/>
        <v/>
      </c>
      <c r="W123" s="17" t="str">
        <f>IF(V123="","",VLOOKUP(MAX(V123,0),Reference!$A$17:$B$20,2,TRUE()))</f>
        <v/>
      </c>
      <c r="X123" s="16"/>
      <c r="Y123" s="16"/>
      <c r="Z123" s="16"/>
      <c r="AA123" s="17" t="str">
        <f t="shared" si="12"/>
        <v/>
      </c>
      <c r="AB123" s="17" t="str">
        <f t="shared" si="13"/>
        <v/>
      </c>
      <c r="AC123" s="17" t="str">
        <f>IF(AB123="","",VLOOKUP(MAX(AB123,0),Reference!$A$17:$B$20,2,TRUE()))</f>
        <v/>
      </c>
      <c r="AD123" s="16"/>
    </row>
    <row r="124" spans="1:30" x14ac:dyDescent="0.3">
      <c r="A124" s="19"/>
      <c r="B124" s="16"/>
      <c r="C124" s="16"/>
      <c r="D124" s="16"/>
      <c r="E124" s="18"/>
      <c r="F124" s="18"/>
      <c r="G124" s="15" t="str">
        <f t="shared" si="7"/>
        <v/>
      </c>
      <c r="H124" s="16"/>
      <c r="I124" s="17" t="str">
        <f>IF(H124&lt;&gt;"",H124,IF(G124="","",ROUND(G124*IFERROR(INDEX(Reference!$B$44:$B$50,MATCH(C124,Reference!$A$44:$A$50,0)),0),0)))</f>
        <v/>
      </c>
      <c r="J124" s="16"/>
      <c r="K124" s="16"/>
      <c r="L124" s="17" t="str">
        <f t="shared" si="8"/>
        <v/>
      </c>
      <c r="M124" s="17" t="str">
        <f>IFERROR(INDEX(Roster!$D$5:$D$40,MATCH(B124,Roster!$A$5:$A$40,0)),"")</f>
        <v/>
      </c>
      <c r="N124" s="17" t="str">
        <f t="shared" si="9"/>
        <v/>
      </c>
      <c r="O124" s="17" t="str">
        <f>IF(OR(C124="Bullpen",C124="Game"),IFERROR(INDEX(Reference!$B$61:$B$62,MATCH(C124,Reference!$A$61:$A$62,0)),""),IF(D124="","",VLOOKUP(D124,Reference!$A$6:$B$11,2,TRUE())))</f>
        <v/>
      </c>
      <c r="P124" s="17" t="str">
        <f>IF(N124="","",VLOOKUP(MAX(N124,0),Reference!$A$17:$B$20,2,TRUE()))</f>
        <v/>
      </c>
      <c r="Q124" s="17" t="str">
        <f>IF(AND(OR(I124="",O124="",P124=""),OR(R124="",W124=""),OR(X124="",AC124="")),"",IF(OR(I124="",O124="",P124=""),0,I124*O124*P124)+IF(OR(R124="",W124=""),0,R124*IFERROR(INDEX(Reference!$B$61:$B$62,MATCH("Bullpen",Reference!$A$61:$A$62,0)),0)*W124)+IF(OR(X124="",AC124=""),0,X124*VLOOKUP(60,Reference!$A$6:$B$11,2,TRUE())*AC124))</f>
        <v/>
      </c>
      <c r="R124" s="16"/>
      <c r="S124" s="16"/>
      <c r="T124" s="16"/>
      <c r="U124" s="17" t="str">
        <f t="shared" si="10"/>
        <v/>
      </c>
      <c r="V124" s="17" t="str">
        <f t="shared" si="11"/>
        <v/>
      </c>
      <c r="W124" s="17" t="str">
        <f>IF(V124="","",VLOOKUP(MAX(V124,0),Reference!$A$17:$B$20,2,TRUE()))</f>
        <v/>
      </c>
      <c r="X124" s="16"/>
      <c r="Y124" s="16"/>
      <c r="Z124" s="16"/>
      <c r="AA124" s="17" t="str">
        <f t="shared" si="12"/>
        <v/>
      </c>
      <c r="AB124" s="17" t="str">
        <f t="shared" si="13"/>
        <v/>
      </c>
      <c r="AC124" s="17" t="str">
        <f>IF(AB124="","",VLOOKUP(MAX(AB124,0),Reference!$A$17:$B$20,2,TRUE()))</f>
        <v/>
      </c>
      <c r="AD124" s="16"/>
    </row>
    <row r="125" spans="1:30" x14ac:dyDescent="0.3">
      <c r="A125" s="19"/>
      <c r="B125" s="16"/>
      <c r="C125" s="16"/>
      <c r="D125" s="16"/>
      <c r="E125" s="18"/>
      <c r="F125" s="18"/>
      <c r="G125" s="15" t="str">
        <f t="shared" si="7"/>
        <v/>
      </c>
      <c r="H125" s="16"/>
      <c r="I125" s="17" t="str">
        <f>IF(H125&lt;&gt;"",H125,IF(G125="","",ROUND(G125*IFERROR(INDEX(Reference!$B$44:$B$50,MATCH(C125,Reference!$A$44:$A$50,0)),0),0)))</f>
        <v/>
      </c>
      <c r="J125" s="16"/>
      <c r="K125" s="16"/>
      <c r="L125" s="17" t="str">
        <f t="shared" si="8"/>
        <v/>
      </c>
      <c r="M125" s="17" t="str">
        <f>IFERROR(INDEX(Roster!$D$5:$D$40,MATCH(B125,Roster!$A$5:$A$40,0)),"")</f>
        <v/>
      </c>
      <c r="N125" s="17" t="str">
        <f t="shared" si="9"/>
        <v/>
      </c>
      <c r="O125" s="17" t="str">
        <f>IF(OR(C125="Bullpen",C125="Game"),IFERROR(INDEX(Reference!$B$61:$B$62,MATCH(C125,Reference!$A$61:$A$62,0)),""),IF(D125="","",VLOOKUP(D125,Reference!$A$6:$B$11,2,TRUE())))</f>
        <v/>
      </c>
      <c r="P125" s="17" t="str">
        <f>IF(N125="","",VLOOKUP(MAX(N125,0),Reference!$A$17:$B$20,2,TRUE()))</f>
        <v/>
      </c>
      <c r="Q125" s="17" t="str">
        <f>IF(AND(OR(I125="",O125="",P125=""),OR(R125="",W125=""),OR(X125="",AC125="")),"",IF(OR(I125="",O125="",P125=""),0,I125*O125*P125)+IF(OR(R125="",W125=""),0,R125*IFERROR(INDEX(Reference!$B$61:$B$62,MATCH("Bullpen",Reference!$A$61:$A$62,0)),0)*W125)+IF(OR(X125="",AC125=""),0,X125*VLOOKUP(60,Reference!$A$6:$B$11,2,TRUE())*AC125))</f>
        <v/>
      </c>
      <c r="R125" s="16"/>
      <c r="S125" s="16"/>
      <c r="T125" s="16"/>
      <c r="U125" s="17" t="str">
        <f t="shared" si="10"/>
        <v/>
      </c>
      <c r="V125" s="17" t="str">
        <f t="shared" si="11"/>
        <v/>
      </c>
      <c r="W125" s="17" t="str">
        <f>IF(V125="","",VLOOKUP(MAX(V125,0),Reference!$A$17:$B$20,2,TRUE()))</f>
        <v/>
      </c>
      <c r="X125" s="16"/>
      <c r="Y125" s="16"/>
      <c r="Z125" s="16"/>
      <c r="AA125" s="17" t="str">
        <f t="shared" si="12"/>
        <v/>
      </c>
      <c r="AB125" s="17" t="str">
        <f t="shared" si="13"/>
        <v/>
      </c>
      <c r="AC125" s="17" t="str">
        <f>IF(AB125="","",VLOOKUP(MAX(AB125,0),Reference!$A$17:$B$20,2,TRUE()))</f>
        <v/>
      </c>
      <c r="AD125" s="16"/>
    </row>
    <row r="126" spans="1:30" x14ac:dyDescent="0.3">
      <c r="A126" s="19"/>
      <c r="B126" s="16"/>
      <c r="C126" s="16"/>
      <c r="D126" s="16"/>
      <c r="E126" s="18"/>
      <c r="F126" s="18"/>
      <c r="G126" s="15" t="str">
        <f t="shared" si="7"/>
        <v/>
      </c>
      <c r="H126" s="16"/>
      <c r="I126" s="17" t="str">
        <f>IF(H126&lt;&gt;"",H126,IF(G126="","",ROUND(G126*IFERROR(INDEX(Reference!$B$44:$B$50,MATCH(C126,Reference!$A$44:$A$50,0)),0),0)))</f>
        <v/>
      </c>
      <c r="J126" s="16"/>
      <c r="K126" s="16"/>
      <c r="L126" s="17" t="str">
        <f t="shared" si="8"/>
        <v/>
      </c>
      <c r="M126" s="17" t="str">
        <f>IFERROR(INDEX(Roster!$D$5:$D$40,MATCH(B126,Roster!$A$5:$A$40,0)),"")</f>
        <v/>
      </c>
      <c r="N126" s="17" t="str">
        <f t="shared" si="9"/>
        <v/>
      </c>
      <c r="O126" s="17" t="str">
        <f>IF(OR(C126="Bullpen",C126="Game"),IFERROR(INDEX(Reference!$B$61:$B$62,MATCH(C126,Reference!$A$61:$A$62,0)),""),IF(D126="","",VLOOKUP(D126,Reference!$A$6:$B$11,2,TRUE())))</f>
        <v/>
      </c>
      <c r="P126" s="17" t="str">
        <f>IF(N126="","",VLOOKUP(MAX(N126,0),Reference!$A$17:$B$20,2,TRUE()))</f>
        <v/>
      </c>
      <c r="Q126" s="17" t="str">
        <f>IF(AND(OR(I126="",O126="",P126=""),OR(R126="",W126=""),OR(X126="",AC126="")),"",IF(OR(I126="",O126="",P126=""),0,I126*O126*P126)+IF(OR(R126="",W126=""),0,R126*IFERROR(INDEX(Reference!$B$61:$B$62,MATCH("Bullpen",Reference!$A$61:$A$62,0)),0)*W126)+IF(OR(X126="",AC126=""),0,X126*VLOOKUP(60,Reference!$A$6:$B$11,2,TRUE())*AC126))</f>
        <v/>
      </c>
      <c r="R126" s="16"/>
      <c r="S126" s="16"/>
      <c r="T126" s="16"/>
      <c r="U126" s="17" t="str">
        <f t="shared" si="10"/>
        <v/>
      </c>
      <c r="V126" s="17" t="str">
        <f t="shared" si="11"/>
        <v/>
      </c>
      <c r="W126" s="17" t="str">
        <f>IF(V126="","",VLOOKUP(MAX(V126,0),Reference!$A$17:$B$20,2,TRUE()))</f>
        <v/>
      </c>
      <c r="X126" s="16"/>
      <c r="Y126" s="16"/>
      <c r="Z126" s="16"/>
      <c r="AA126" s="17" t="str">
        <f t="shared" si="12"/>
        <v/>
      </c>
      <c r="AB126" s="17" t="str">
        <f t="shared" si="13"/>
        <v/>
      </c>
      <c r="AC126" s="17" t="str">
        <f>IF(AB126="","",VLOOKUP(MAX(AB126,0),Reference!$A$17:$B$20,2,TRUE()))</f>
        <v/>
      </c>
      <c r="AD126" s="16"/>
    </row>
    <row r="127" spans="1:30" x14ac:dyDescent="0.3">
      <c r="A127" s="19"/>
      <c r="B127" s="16"/>
      <c r="C127" s="16"/>
      <c r="D127" s="16"/>
      <c r="E127" s="18"/>
      <c r="F127" s="18"/>
      <c r="G127" s="15" t="str">
        <f t="shared" si="7"/>
        <v/>
      </c>
      <c r="H127" s="16"/>
      <c r="I127" s="17" t="str">
        <f>IF(H127&lt;&gt;"",H127,IF(G127="","",ROUND(G127*IFERROR(INDEX(Reference!$B$44:$B$50,MATCH(C127,Reference!$A$44:$A$50,0)),0),0)))</f>
        <v/>
      </c>
      <c r="J127" s="16"/>
      <c r="K127" s="16"/>
      <c r="L127" s="17" t="str">
        <f t="shared" si="8"/>
        <v/>
      </c>
      <c r="M127" s="17" t="str">
        <f>IFERROR(INDEX(Roster!$D$5:$D$40,MATCH(B127,Roster!$A$5:$A$40,0)),"")</f>
        <v/>
      </c>
      <c r="N127" s="17" t="str">
        <f t="shared" si="9"/>
        <v/>
      </c>
      <c r="O127" s="17" t="str">
        <f>IF(OR(C127="Bullpen",C127="Game"),IFERROR(INDEX(Reference!$B$61:$B$62,MATCH(C127,Reference!$A$61:$A$62,0)),""),IF(D127="","",VLOOKUP(D127,Reference!$A$6:$B$11,2,TRUE())))</f>
        <v/>
      </c>
      <c r="P127" s="17" t="str">
        <f>IF(N127="","",VLOOKUP(MAX(N127,0),Reference!$A$17:$B$20,2,TRUE()))</f>
        <v/>
      </c>
      <c r="Q127" s="17" t="str">
        <f>IF(AND(OR(I127="",O127="",P127=""),OR(R127="",W127=""),OR(X127="",AC127="")),"",IF(OR(I127="",O127="",P127=""),0,I127*O127*P127)+IF(OR(R127="",W127=""),0,R127*IFERROR(INDEX(Reference!$B$61:$B$62,MATCH("Bullpen",Reference!$A$61:$A$62,0)),0)*W127)+IF(OR(X127="",AC127=""),0,X127*VLOOKUP(60,Reference!$A$6:$B$11,2,TRUE())*AC127))</f>
        <v/>
      </c>
      <c r="R127" s="16"/>
      <c r="S127" s="16"/>
      <c r="T127" s="16"/>
      <c r="U127" s="17" t="str">
        <f t="shared" si="10"/>
        <v/>
      </c>
      <c r="V127" s="17" t="str">
        <f t="shared" si="11"/>
        <v/>
      </c>
      <c r="W127" s="17" t="str">
        <f>IF(V127="","",VLOOKUP(MAX(V127,0),Reference!$A$17:$B$20,2,TRUE()))</f>
        <v/>
      </c>
      <c r="X127" s="16"/>
      <c r="Y127" s="16"/>
      <c r="Z127" s="16"/>
      <c r="AA127" s="17" t="str">
        <f t="shared" si="12"/>
        <v/>
      </c>
      <c r="AB127" s="17" t="str">
        <f t="shared" si="13"/>
        <v/>
      </c>
      <c r="AC127" s="17" t="str">
        <f>IF(AB127="","",VLOOKUP(MAX(AB127,0),Reference!$A$17:$B$20,2,TRUE()))</f>
        <v/>
      </c>
      <c r="AD127" s="16"/>
    </row>
    <row r="128" spans="1:30" x14ac:dyDescent="0.3">
      <c r="A128" s="19"/>
      <c r="B128" s="16"/>
      <c r="C128" s="16"/>
      <c r="D128" s="16"/>
      <c r="E128" s="18"/>
      <c r="F128" s="18"/>
      <c r="G128" s="15" t="str">
        <f t="shared" si="7"/>
        <v/>
      </c>
      <c r="H128" s="16"/>
      <c r="I128" s="17" t="str">
        <f>IF(H128&lt;&gt;"",H128,IF(G128="","",ROUND(G128*IFERROR(INDEX(Reference!$B$44:$B$50,MATCH(C128,Reference!$A$44:$A$50,0)),0),0)))</f>
        <v/>
      </c>
      <c r="J128" s="16"/>
      <c r="K128" s="16"/>
      <c r="L128" s="17" t="str">
        <f t="shared" si="8"/>
        <v/>
      </c>
      <c r="M128" s="17" t="str">
        <f>IFERROR(INDEX(Roster!$D$5:$D$40,MATCH(B128,Roster!$A$5:$A$40,0)),"")</f>
        <v/>
      </c>
      <c r="N128" s="17" t="str">
        <f t="shared" si="9"/>
        <v/>
      </c>
      <c r="O128" s="17" t="str">
        <f>IF(OR(C128="Bullpen",C128="Game"),IFERROR(INDEX(Reference!$B$61:$B$62,MATCH(C128,Reference!$A$61:$A$62,0)),""),IF(D128="","",VLOOKUP(D128,Reference!$A$6:$B$11,2,TRUE())))</f>
        <v/>
      </c>
      <c r="P128" s="17" t="str">
        <f>IF(N128="","",VLOOKUP(MAX(N128,0),Reference!$A$17:$B$20,2,TRUE()))</f>
        <v/>
      </c>
      <c r="Q128" s="17" t="str">
        <f>IF(AND(OR(I128="",O128="",P128=""),OR(R128="",W128=""),OR(X128="",AC128="")),"",IF(OR(I128="",O128="",P128=""),0,I128*O128*P128)+IF(OR(R128="",W128=""),0,R128*IFERROR(INDEX(Reference!$B$61:$B$62,MATCH("Bullpen",Reference!$A$61:$A$62,0)),0)*W128)+IF(OR(X128="",AC128=""),0,X128*VLOOKUP(60,Reference!$A$6:$B$11,2,TRUE())*AC128))</f>
        <v/>
      </c>
      <c r="R128" s="16"/>
      <c r="S128" s="16"/>
      <c r="T128" s="16"/>
      <c r="U128" s="17" t="str">
        <f t="shared" si="10"/>
        <v/>
      </c>
      <c r="V128" s="17" t="str">
        <f t="shared" si="11"/>
        <v/>
      </c>
      <c r="W128" s="17" t="str">
        <f>IF(V128="","",VLOOKUP(MAX(V128,0),Reference!$A$17:$B$20,2,TRUE()))</f>
        <v/>
      </c>
      <c r="X128" s="16"/>
      <c r="Y128" s="16"/>
      <c r="Z128" s="16"/>
      <c r="AA128" s="17" t="str">
        <f t="shared" si="12"/>
        <v/>
      </c>
      <c r="AB128" s="17" t="str">
        <f t="shared" si="13"/>
        <v/>
      </c>
      <c r="AC128" s="17" t="str">
        <f>IF(AB128="","",VLOOKUP(MAX(AB128,0),Reference!$A$17:$B$20,2,TRUE()))</f>
        <v/>
      </c>
      <c r="AD128" s="16"/>
    </row>
    <row r="129" spans="1:30" x14ac:dyDescent="0.3">
      <c r="A129" s="19"/>
      <c r="B129" s="16"/>
      <c r="C129" s="16"/>
      <c r="D129" s="16"/>
      <c r="E129" s="18"/>
      <c r="F129" s="18"/>
      <c r="G129" s="15" t="str">
        <f t="shared" si="7"/>
        <v/>
      </c>
      <c r="H129" s="16"/>
      <c r="I129" s="17" t="str">
        <f>IF(H129&lt;&gt;"",H129,IF(G129="","",ROUND(G129*IFERROR(INDEX(Reference!$B$44:$B$50,MATCH(C129,Reference!$A$44:$A$50,0)),0),0)))</f>
        <v/>
      </c>
      <c r="J129" s="16"/>
      <c r="K129" s="16"/>
      <c r="L129" s="17" t="str">
        <f t="shared" si="8"/>
        <v/>
      </c>
      <c r="M129" s="17" t="str">
        <f>IFERROR(INDEX(Roster!$D$5:$D$40,MATCH(B129,Roster!$A$5:$A$40,0)),"")</f>
        <v/>
      </c>
      <c r="N129" s="17" t="str">
        <f t="shared" si="9"/>
        <v/>
      </c>
      <c r="O129" s="17" t="str">
        <f>IF(OR(C129="Bullpen",C129="Game"),IFERROR(INDEX(Reference!$B$61:$B$62,MATCH(C129,Reference!$A$61:$A$62,0)),""),IF(D129="","",VLOOKUP(D129,Reference!$A$6:$B$11,2,TRUE())))</f>
        <v/>
      </c>
      <c r="P129" s="17" t="str">
        <f>IF(N129="","",VLOOKUP(MAX(N129,0),Reference!$A$17:$B$20,2,TRUE()))</f>
        <v/>
      </c>
      <c r="Q129" s="17" t="str">
        <f>IF(AND(OR(I129="",O129="",P129=""),OR(R129="",W129=""),OR(X129="",AC129="")),"",IF(OR(I129="",O129="",P129=""),0,I129*O129*P129)+IF(OR(R129="",W129=""),0,R129*IFERROR(INDEX(Reference!$B$61:$B$62,MATCH("Bullpen",Reference!$A$61:$A$62,0)),0)*W129)+IF(OR(X129="",AC129=""),0,X129*VLOOKUP(60,Reference!$A$6:$B$11,2,TRUE())*AC129))</f>
        <v/>
      </c>
      <c r="R129" s="16"/>
      <c r="S129" s="16"/>
      <c r="T129" s="16"/>
      <c r="U129" s="17" t="str">
        <f t="shared" si="10"/>
        <v/>
      </c>
      <c r="V129" s="17" t="str">
        <f t="shared" si="11"/>
        <v/>
      </c>
      <c r="W129" s="17" t="str">
        <f>IF(V129="","",VLOOKUP(MAX(V129,0),Reference!$A$17:$B$20,2,TRUE()))</f>
        <v/>
      </c>
      <c r="X129" s="16"/>
      <c r="Y129" s="16"/>
      <c r="Z129" s="16"/>
      <c r="AA129" s="17" t="str">
        <f t="shared" si="12"/>
        <v/>
      </c>
      <c r="AB129" s="17" t="str">
        <f t="shared" si="13"/>
        <v/>
      </c>
      <c r="AC129" s="17" t="str">
        <f>IF(AB129="","",VLOOKUP(MAX(AB129,0),Reference!$A$17:$B$20,2,TRUE()))</f>
        <v/>
      </c>
      <c r="AD129" s="16"/>
    </row>
    <row r="130" spans="1:30" x14ac:dyDescent="0.3">
      <c r="A130" s="19"/>
      <c r="B130" s="16"/>
      <c r="C130" s="16"/>
      <c r="D130" s="16"/>
      <c r="E130" s="18"/>
      <c r="F130" s="18"/>
      <c r="G130" s="15" t="str">
        <f t="shared" si="7"/>
        <v/>
      </c>
      <c r="H130" s="16"/>
      <c r="I130" s="17" t="str">
        <f>IF(H130&lt;&gt;"",H130,IF(G130="","",ROUND(G130*IFERROR(INDEX(Reference!$B$44:$B$50,MATCH(C130,Reference!$A$44:$A$50,0)),0),0)))</f>
        <v/>
      </c>
      <c r="J130" s="16"/>
      <c r="K130" s="16"/>
      <c r="L130" s="17" t="str">
        <f t="shared" si="8"/>
        <v/>
      </c>
      <c r="M130" s="17" t="str">
        <f>IFERROR(INDEX(Roster!$D$5:$D$40,MATCH(B130,Roster!$A$5:$A$40,0)),"")</f>
        <v/>
      </c>
      <c r="N130" s="17" t="str">
        <f t="shared" si="9"/>
        <v/>
      </c>
      <c r="O130" s="17" t="str">
        <f>IF(OR(C130="Bullpen",C130="Game"),IFERROR(INDEX(Reference!$B$61:$B$62,MATCH(C130,Reference!$A$61:$A$62,0)),""),IF(D130="","",VLOOKUP(D130,Reference!$A$6:$B$11,2,TRUE())))</f>
        <v/>
      </c>
      <c r="P130" s="17" t="str">
        <f>IF(N130="","",VLOOKUP(MAX(N130,0),Reference!$A$17:$B$20,2,TRUE()))</f>
        <v/>
      </c>
      <c r="Q130" s="17" t="str">
        <f>IF(AND(OR(I130="",O130="",P130=""),OR(R130="",W130=""),OR(X130="",AC130="")),"",IF(OR(I130="",O130="",P130=""),0,I130*O130*P130)+IF(OR(R130="",W130=""),0,R130*IFERROR(INDEX(Reference!$B$61:$B$62,MATCH("Bullpen",Reference!$A$61:$A$62,0)),0)*W130)+IF(OR(X130="",AC130=""),0,X130*VLOOKUP(60,Reference!$A$6:$B$11,2,TRUE())*AC130))</f>
        <v/>
      </c>
      <c r="R130" s="16"/>
      <c r="S130" s="16"/>
      <c r="T130" s="16"/>
      <c r="U130" s="17" t="str">
        <f t="shared" si="10"/>
        <v/>
      </c>
      <c r="V130" s="17" t="str">
        <f t="shared" si="11"/>
        <v/>
      </c>
      <c r="W130" s="17" t="str">
        <f>IF(V130="","",VLOOKUP(MAX(V130,0),Reference!$A$17:$B$20,2,TRUE()))</f>
        <v/>
      </c>
      <c r="X130" s="16"/>
      <c r="Y130" s="16"/>
      <c r="Z130" s="16"/>
      <c r="AA130" s="17" t="str">
        <f t="shared" si="12"/>
        <v/>
      </c>
      <c r="AB130" s="17" t="str">
        <f t="shared" si="13"/>
        <v/>
      </c>
      <c r="AC130" s="17" t="str">
        <f>IF(AB130="","",VLOOKUP(MAX(AB130,0),Reference!$A$17:$B$20,2,TRUE()))</f>
        <v/>
      </c>
      <c r="AD130" s="16"/>
    </row>
    <row r="131" spans="1:30" x14ac:dyDescent="0.3">
      <c r="A131" s="19"/>
      <c r="B131" s="16"/>
      <c r="C131" s="16"/>
      <c r="D131" s="16"/>
      <c r="E131" s="18"/>
      <c r="F131" s="18"/>
      <c r="G131" s="15" t="str">
        <f t="shared" si="7"/>
        <v/>
      </c>
      <c r="H131" s="16"/>
      <c r="I131" s="17" t="str">
        <f>IF(H131&lt;&gt;"",H131,IF(G131="","",ROUND(G131*IFERROR(INDEX(Reference!$B$44:$B$50,MATCH(C131,Reference!$A$44:$A$50,0)),0),0)))</f>
        <v/>
      </c>
      <c r="J131" s="16"/>
      <c r="K131" s="16"/>
      <c r="L131" s="17" t="str">
        <f t="shared" si="8"/>
        <v/>
      </c>
      <c r="M131" s="17" t="str">
        <f>IFERROR(INDEX(Roster!$D$5:$D$40,MATCH(B131,Roster!$A$5:$A$40,0)),"")</f>
        <v/>
      </c>
      <c r="N131" s="17" t="str">
        <f t="shared" si="9"/>
        <v/>
      </c>
      <c r="O131" s="17" t="str">
        <f>IF(OR(C131="Bullpen",C131="Game"),IFERROR(INDEX(Reference!$B$61:$B$62,MATCH(C131,Reference!$A$61:$A$62,0)),""),IF(D131="","",VLOOKUP(D131,Reference!$A$6:$B$11,2,TRUE())))</f>
        <v/>
      </c>
      <c r="P131" s="17" t="str">
        <f>IF(N131="","",VLOOKUP(MAX(N131,0),Reference!$A$17:$B$20,2,TRUE()))</f>
        <v/>
      </c>
      <c r="Q131" s="17" t="str">
        <f>IF(AND(OR(I131="",O131="",P131=""),OR(R131="",W131=""),OR(X131="",AC131="")),"",IF(OR(I131="",O131="",P131=""),0,I131*O131*P131)+IF(OR(R131="",W131=""),0,R131*IFERROR(INDEX(Reference!$B$61:$B$62,MATCH("Bullpen",Reference!$A$61:$A$62,0)),0)*W131)+IF(OR(X131="",AC131=""),0,X131*VLOOKUP(60,Reference!$A$6:$B$11,2,TRUE())*AC131))</f>
        <v/>
      </c>
      <c r="R131" s="16"/>
      <c r="S131" s="16"/>
      <c r="T131" s="16"/>
      <c r="U131" s="17" t="str">
        <f t="shared" si="10"/>
        <v/>
      </c>
      <c r="V131" s="17" t="str">
        <f t="shared" si="11"/>
        <v/>
      </c>
      <c r="W131" s="17" t="str">
        <f>IF(V131="","",VLOOKUP(MAX(V131,0),Reference!$A$17:$B$20,2,TRUE()))</f>
        <v/>
      </c>
      <c r="X131" s="16"/>
      <c r="Y131" s="16"/>
      <c r="Z131" s="16"/>
      <c r="AA131" s="17" t="str">
        <f t="shared" si="12"/>
        <v/>
      </c>
      <c r="AB131" s="17" t="str">
        <f t="shared" si="13"/>
        <v/>
      </c>
      <c r="AC131" s="17" t="str">
        <f>IF(AB131="","",VLOOKUP(MAX(AB131,0),Reference!$A$17:$B$20,2,TRUE()))</f>
        <v/>
      </c>
      <c r="AD131" s="16"/>
    </row>
    <row r="132" spans="1:30" x14ac:dyDescent="0.3">
      <c r="A132" s="19"/>
      <c r="B132" s="16"/>
      <c r="C132" s="16"/>
      <c r="D132" s="16"/>
      <c r="E132" s="18"/>
      <c r="F132" s="18"/>
      <c r="G132" s="15" t="str">
        <f t="shared" si="7"/>
        <v/>
      </c>
      <c r="H132" s="16"/>
      <c r="I132" s="17" t="str">
        <f>IF(H132&lt;&gt;"",H132,IF(G132="","",ROUND(G132*IFERROR(INDEX(Reference!$B$44:$B$50,MATCH(C132,Reference!$A$44:$A$50,0)),0),0)))</f>
        <v/>
      </c>
      <c r="J132" s="16"/>
      <c r="K132" s="16"/>
      <c r="L132" s="17" t="str">
        <f t="shared" si="8"/>
        <v/>
      </c>
      <c r="M132" s="17" t="str">
        <f>IFERROR(INDEX(Roster!$D$5:$D$40,MATCH(B132,Roster!$A$5:$A$40,0)),"")</f>
        <v/>
      </c>
      <c r="N132" s="17" t="str">
        <f t="shared" si="9"/>
        <v/>
      </c>
      <c r="O132" s="17" t="str">
        <f>IF(OR(C132="Bullpen",C132="Game"),IFERROR(INDEX(Reference!$B$61:$B$62,MATCH(C132,Reference!$A$61:$A$62,0)),""),IF(D132="","",VLOOKUP(D132,Reference!$A$6:$B$11,2,TRUE())))</f>
        <v/>
      </c>
      <c r="P132" s="17" t="str">
        <f>IF(N132="","",VLOOKUP(MAX(N132,0),Reference!$A$17:$B$20,2,TRUE()))</f>
        <v/>
      </c>
      <c r="Q132" s="17" t="str">
        <f>IF(AND(OR(I132="",O132="",P132=""),OR(R132="",W132=""),OR(X132="",AC132="")),"",IF(OR(I132="",O132="",P132=""),0,I132*O132*P132)+IF(OR(R132="",W132=""),0,R132*IFERROR(INDEX(Reference!$B$61:$B$62,MATCH("Bullpen",Reference!$A$61:$A$62,0)),0)*W132)+IF(OR(X132="",AC132=""),0,X132*VLOOKUP(60,Reference!$A$6:$B$11,2,TRUE())*AC132))</f>
        <v/>
      </c>
      <c r="R132" s="16"/>
      <c r="S132" s="16"/>
      <c r="T132" s="16"/>
      <c r="U132" s="17" t="str">
        <f t="shared" si="10"/>
        <v/>
      </c>
      <c r="V132" s="17" t="str">
        <f t="shared" si="11"/>
        <v/>
      </c>
      <c r="W132" s="17" t="str">
        <f>IF(V132="","",VLOOKUP(MAX(V132,0),Reference!$A$17:$B$20,2,TRUE()))</f>
        <v/>
      </c>
      <c r="X132" s="16"/>
      <c r="Y132" s="16"/>
      <c r="Z132" s="16"/>
      <c r="AA132" s="17" t="str">
        <f t="shared" si="12"/>
        <v/>
      </c>
      <c r="AB132" s="17" t="str">
        <f t="shared" si="13"/>
        <v/>
      </c>
      <c r="AC132" s="17" t="str">
        <f>IF(AB132="","",VLOOKUP(MAX(AB132,0),Reference!$A$17:$B$20,2,TRUE()))</f>
        <v/>
      </c>
      <c r="AD132" s="16"/>
    </row>
    <row r="133" spans="1:30" x14ac:dyDescent="0.3">
      <c r="A133" s="19"/>
      <c r="B133" s="16"/>
      <c r="C133" s="16"/>
      <c r="D133" s="16"/>
      <c r="E133" s="18"/>
      <c r="F133" s="18"/>
      <c r="G133" s="15" t="str">
        <f t="shared" ref="G133:G196" si="14">IF(OR(E133="",F133=""),"",(F133-E133)*1440)</f>
        <v/>
      </c>
      <c r="H133" s="16"/>
      <c r="I133" s="17" t="str">
        <f>IF(H133&lt;&gt;"",H133,IF(G133="","",ROUND(G133*IFERROR(INDEX(Reference!$B$44:$B$50,MATCH(C133,Reference!$A$44:$A$50,0)),0),0)))</f>
        <v/>
      </c>
      <c r="J133" s="16"/>
      <c r="K133" s="16"/>
      <c r="L133" s="17" t="str">
        <f t="shared" ref="L133:L196" si="15">IF(J133="","",IF(K133="",J133,AVERAGE(J133,K133)))</f>
        <v/>
      </c>
      <c r="M133" s="17" t="str">
        <f>IFERROR(INDEX(Roster!$D$5:$D$40,MATCH(B133,Roster!$A$5:$A$40,0)),"")</f>
        <v/>
      </c>
      <c r="N133" s="17" t="str">
        <f t="shared" ref="N133:N196" si="16">IF(OR(L133="",M133="",M133=0),"",M133-L133)</f>
        <v/>
      </c>
      <c r="O133" s="17" t="str">
        <f>IF(OR(C133="Bullpen",C133="Game"),IFERROR(INDEX(Reference!$B$61:$B$62,MATCH(C133,Reference!$A$61:$A$62,0)),""),IF(D133="","",VLOOKUP(D133,Reference!$A$6:$B$11,2,TRUE())))</f>
        <v/>
      </c>
      <c r="P133" s="17" t="str">
        <f>IF(N133="","",VLOOKUP(MAX(N133,0),Reference!$A$17:$B$20,2,TRUE()))</f>
        <v/>
      </c>
      <c r="Q133" s="17" t="str">
        <f>IF(AND(OR(I133="",O133="",P133=""),OR(R133="",W133=""),OR(X133="",AC133="")),"",IF(OR(I133="",O133="",P133=""),0,I133*O133*P133)+IF(OR(R133="",W133=""),0,R133*IFERROR(INDEX(Reference!$B$61:$B$62,MATCH("Bullpen",Reference!$A$61:$A$62,0)),0)*W133)+IF(OR(X133="",AC133=""),0,X133*VLOOKUP(60,Reference!$A$6:$B$11,2,TRUE())*AC133))</f>
        <v/>
      </c>
      <c r="R133" s="16"/>
      <c r="S133" s="16"/>
      <c r="T133" s="16"/>
      <c r="U133" s="17" t="str">
        <f t="shared" ref="U133:U196" si="17">IF(S133="","",IF(T133="",S133,AVERAGE(S133,T133)))</f>
        <v/>
      </c>
      <c r="V133" s="17" t="str">
        <f t="shared" ref="V133:V196" si="18">IF(OR(U133="",M133="",M133=0),"",M133-U133)</f>
        <v/>
      </c>
      <c r="W133" s="17" t="str">
        <f>IF(V133="","",VLOOKUP(MAX(V133,0),Reference!$A$17:$B$20,2,TRUE()))</f>
        <v/>
      </c>
      <c r="X133" s="16"/>
      <c r="Y133" s="16"/>
      <c r="Z133" s="16"/>
      <c r="AA133" s="17" t="str">
        <f t="shared" ref="AA133:AA196" si="19">IF(Y133="","",IF(Z133="",Y133,AVERAGE(Y133,Z133)))</f>
        <v/>
      </c>
      <c r="AB133" s="17" t="str">
        <f t="shared" ref="AB133:AB196" si="20">IF(OR(AA133="",M133="",M133=0),"",M133-AA133)</f>
        <v/>
      </c>
      <c r="AC133" s="17" t="str">
        <f>IF(AB133="","",VLOOKUP(MAX(AB133,0),Reference!$A$17:$B$20,2,TRUE()))</f>
        <v/>
      </c>
      <c r="AD133" s="16"/>
    </row>
    <row r="134" spans="1:30" x14ac:dyDescent="0.3">
      <c r="A134" s="19"/>
      <c r="B134" s="16"/>
      <c r="C134" s="16"/>
      <c r="D134" s="16"/>
      <c r="E134" s="18"/>
      <c r="F134" s="18"/>
      <c r="G134" s="15" t="str">
        <f t="shared" si="14"/>
        <v/>
      </c>
      <c r="H134" s="16"/>
      <c r="I134" s="17" t="str">
        <f>IF(H134&lt;&gt;"",H134,IF(G134="","",ROUND(G134*IFERROR(INDEX(Reference!$B$44:$B$50,MATCH(C134,Reference!$A$44:$A$50,0)),0),0)))</f>
        <v/>
      </c>
      <c r="J134" s="16"/>
      <c r="K134" s="16"/>
      <c r="L134" s="17" t="str">
        <f t="shared" si="15"/>
        <v/>
      </c>
      <c r="M134" s="17" t="str">
        <f>IFERROR(INDEX(Roster!$D$5:$D$40,MATCH(B134,Roster!$A$5:$A$40,0)),"")</f>
        <v/>
      </c>
      <c r="N134" s="17" t="str">
        <f t="shared" si="16"/>
        <v/>
      </c>
      <c r="O134" s="17" t="str">
        <f>IF(OR(C134="Bullpen",C134="Game"),IFERROR(INDEX(Reference!$B$61:$B$62,MATCH(C134,Reference!$A$61:$A$62,0)),""),IF(D134="","",VLOOKUP(D134,Reference!$A$6:$B$11,2,TRUE())))</f>
        <v/>
      </c>
      <c r="P134" s="17" t="str">
        <f>IF(N134="","",VLOOKUP(MAX(N134,0),Reference!$A$17:$B$20,2,TRUE()))</f>
        <v/>
      </c>
      <c r="Q134" s="17" t="str">
        <f>IF(AND(OR(I134="",O134="",P134=""),OR(R134="",W134=""),OR(X134="",AC134="")),"",IF(OR(I134="",O134="",P134=""),0,I134*O134*P134)+IF(OR(R134="",W134=""),0,R134*IFERROR(INDEX(Reference!$B$61:$B$62,MATCH("Bullpen",Reference!$A$61:$A$62,0)),0)*W134)+IF(OR(X134="",AC134=""),0,X134*VLOOKUP(60,Reference!$A$6:$B$11,2,TRUE())*AC134))</f>
        <v/>
      </c>
      <c r="R134" s="16"/>
      <c r="S134" s="16"/>
      <c r="T134" s="16"/>
      <c r="U134" s="17" t="str">
        <f t="shared" si="17"/>
        <v/>
      </c>
      <c r="V134" s="17" t="str">
        <f t="shared" si="18"/>
        <v/>
      </c>
      <c r="W134" s="17" t="str">
        <f>IF(V134="","",VLOOKUP(MAX(V134,0),Reference!$A$17:$B$20,2,TRUE()))</f>
        <v/>
      </c>
      <c r="X134" s="16"/>
      <c r="Y134" s="16"/>
      <c r="Z134" s="16"/>
      <c r="AA134" s="17" t="str">
        <f t="shared" si="19"/>
        <v/>
      </c>
      <c r="AB134" s="17" t="str">
        <f t="shared" si="20"/>
        <v/>
      </c>
      <c r="AC134" s="17" t="str">
        <f>IF(AB134="","",VLOOKUP(MAX(AB134,0),Reference!$A$17:$B$20,2,TRUE()))</f>
        <v/>
      </c>
      <c r="AD134" s="16"/>
    </row>
    <row r="135" spans="1:30" x14ac:dyDescent="0.3">
      <c r="A135" s="19"/>
      <c r="B135" s="16"/>
      <c r="C135" s="16"/>
      <c r="D135" s="16"/>
      <c r="E135" s="18"/>
      <c r="F135" s="18"/>
      <c r="G135" s="15" t="str">
        <f t="shared" si="14"/>
        <v/>
      </c>
      <c r="H135" s="16"/>
      <c r="I135" s="17" t="str">
        <f>IF(H135&lt;&gt;"",H135,IF(G135="","",ROUND(G135*IFERROR(INDEX(Reference!$B$44:$B$50,MATCH(C135,Reference!$A$44:$A$50,0)),0),0)))</f>
        <v/>
      </c>
      <c r="J135" s="16"/>
      <c r="K135" s="16"/>
      <c r="L135" s="17" t="str">
        <f t="shared" si="15"/>
        <v/>
      </c>
      <c r="M135" s="17" t="str">
        <f>IFERROR(INDEX(Roster!$D$5:$D$40,MATCH(B135,Roster!$A$5:$A$40,0)),"")</f>
        <v/>
      </c>
      <c r="N135" s="17" t="str">
        <f t="shared" si="16"/>
        <v/>
      </c>
      <c r="O135" s="17" t="str">
        <f>IF(OR(C135="Bullpen",C135="Game"),IFERROR(INDEX(Reference!$B$61:$B$62,MATCH(C135,Reference!$A$61:$A$62,0)),""),IF(D135="","",VLOOKUP(D135,Reference!$A$6:$B$11,2,TRUE())))</f>
        <v/>
      </c>
      <c r="P135" s="17" t="str">
        <f>IF(N135="","",VLOOKUP(MAX(N135,0),Reference!$A$17:$B$20,2,TRUE()))</f>
        <v/>
      </c>
      <c r="Q135" s="17" t="str">
        <f>IF(AND(OR(I135="",O135="",P135=""),OR(R135="",W135=""),OR(X135="",AC135="")),"",IF(OR(I135="",O135="",P135=""),0,I135*O135*P135)+IF(OR(R135="",W135=""),0,R135*IFERROR(INDEX(Reference!$B$61:$B$62,MATCH("Bullpen",Reference!$A$61:$A$62,0)),0)*W135)+IF(OR(X135="",AC135=""),0,X135*VLOOKUP(60,Reference!$A$6:$B$11,2,TRUE())*AC135))</f>
        <v/>
      </c>
      <c r="R135" s="16"/>
      <c r="S135" s="16"/>
      <c r="T135" s="16"/>
      <c r="U135" s="17" t="str">
        <f t="shared" si="17"/>
        <v/>
      </c>
      <c r="V135" s="17" t="str">
        <f t="shared" si="18"/>
        <v/>
      </c>
      <c r="W135" s="17" t="str">
        <f>IF(V135="","",VLOOKUP(MAX(V135,0),Reference!$A$17:$B$20,2,TRUE()))</f>
        <v/>
      </c>
      <c r="X135" s="16"/>
      <c r="Y135" s="16"/>
      <c r="Z135" s="16"/>
      <c r="AA135" s="17" t="str">
        <f t="shared" si="19"/>
        <v/>
      </c>
      <c r="AB135" s="17" t="str">
        <f t="shared" si="20"/>
        <v/>
      </c>
      <c r="AC135" s="17" t="str">
        <f>IF(AB135="","",VLOOKUP(MAX(AB135,0),Reference!$A$17:$B$20,2,TRUE()))</f>
        <v/>
      </c>
      <c r="AD135" s="16"/>
    </row>
    <row r="136" spans="1:30" x14ac:dyDescent="0.3">
      <c r="A136" s="19"/>
      <c r="B136" s="16"/>
      <c r="C136" s="16"/>
      <c r="D136" s="16"/>
      <c r="E136" s="18"/>
      <c r="F136" s="18"/>
      <c r="G136" s="15" t="str">
        <f t="shared" si="14"/>
        <v/>
      </c>
      <c r="H136" s="16"/>
      <c r="I136" s="17" t="str">
        <f>IF(H136&lt;&gt;"",H136,IF(G136="","",ROUND(G136*IFERROR(INDEX(Reference!$B$44:$B$50,MATCH(C136,Reference!$A$44:$A$50,0)),0),0)))</f>
        <v/>
      </c>
      <c r="J136" s="16"/>
      <c r="K136" s="16"/>
      <c r="L136" s="17" t="str">
        <f t="shared" si="15"/>
        <v/>
      </c>
      <c r="M136" s="17" t="str">
        <f>IFERROR(INDEX(Roster!$D$5:$D$40,MATCH(B136,Roster!$A$5:$A$40,0)),"")</f>
        <v/>
      </c>
      <c r="N136" s="17" t="str">
        <f t="shared" si="16"/>
        <v/>
      </c>
      <c r="O136" s="17" t="str">
        <f>IF(OR(C136="Bullpen",C136="Game"),IFERROR(INDEX(Reference!$B$61:$B$62,MATCH(C136,Reference!$A$61:$A$62,0)),""),IF(D136="","",VLOOKUP(D136,Reference!$A$6:$B$11,2,TRUE())))</f>
        <v/>
      </c>
      <c r="P136" s="17" t="str">
        <f>IF(N136="","",VLOOKUP(MAX(N136,0),Reference!$A$17:$B$20,2,TRUE()))</f>
        <v/>
      </c>
      <c r="Q136" s="17" t="str">
        <f>IF(AND(OR(I136="",O136="",P136=""),OR(R136="",W136=""),OR(X136="",AC136="")),"",IF(OR(I136="",O136="",P136=""),0,I136*O136*P136)+IF(OR(R136="",W136=""),0,R136*IFERROR(INDEX(Reference!$B$61:$B$62,MATCH("Bullpen",Reference!$A$61:$A$62,0)),0)*W136)+IF(OR(X136="",AC136=""),0,X136*VLOOKUP(60,Reference!$A$6:$B$11,2,TRUE())*AC136))</f>
        <v/>
      </c>
      <c r="R136" s="16"/>
      <c r="S136" s="16"/>
      <c r="T136" s="16"/>
      <c r="U136" s="17" t="str">
        <f t="shared" si="17"/>
        <v/>
      </c>
      <c r="V136" s="17" t="str">
        <f t="shared" si="18"/>
        <v/>
      </c>
      <c r="W136" s="17" t="str">
        <f>IF(V136="","",VLOOKUP(MAX(V136,0),Reference!$A$17:$B$20,2,TRUE()))</f>
        <v/>
      </c>
      <c r="X136" s="16"/>
      <c r="Y136" s="16"/>
      <c r="Z136" s="16"/>
      <c r="AA136" s="17" t="str">
        <f t="shared" si="19"/>
        <v/>
      </c>
      <c r="AB136" s="17" t="str">
        <f t="shared" si="20"/>
        <v/>
      </c>
      <c r="AC136" s="17" t="str">
        <f>IF(AB136="","",VLOOKUP(MAX(AB136,0),Reference!$A$17:$B$20,2,TRUE()))</f>
        <v/>
      </c>
      <c r="AD136" s="16"/>
    </row>
    <row r="137" spans="1:30" x14ac:dyDescent="0.3">
      <c r="A137" s="19"/>
      <c r="B137" s="16"/>
      <c r="C137" s="16"/>
      <c r="D137" s="16"/>
      <c r="E137" s="18"/>
      <c r="F137" s="18"/>
      <c r="G137" s="15" t="str">
        <f t="shared" si="14"/>
        <v/>
      </c>
      <c r="H137" s="16"/>
      <c r="I137" s="17" t="str">
        <f>IF(H137&lt;&gt;"",H137,IF(G137="","",ROUND(G137*IFERROR(INDEX(Reference!$B$44:$B$50,MATCH(C137,Reference!$A$44:$A$50,0)),0),0)))</f>
        <v/>
      </c>
      <c r="J137" s="16"/>
      <c r="K137" s="16"/>
      <c r="L137" s="17" t="str">
        <f t="shared" si="15"/>
        <v/>
      </c>
      <c r="M137" s="17" t="str">
        <f>IFERROR(INDEX(Roster!$D$5:$D$40,MATCH(B137,Roster!$A$5:$A$40,0)),"")</f>
        <v/>
      </c>
      <c r="N137" s="17" t="str">
        <f t="shared" si="16"/>
        <v/>
      </c>
      <c r="O137" s="17" t="str">
        <f>IF(OR(C137="Bullpen",C137="Game"),IFERROR(INDEX(Reference!$B$61:$B$62,MATCH(C137,Reference!$A$61:$A$62,0)),""),IF(D137="","",VLOOKUP(D137,Reference!$A$6:$B$11,2,TRUE())))</f>
        <v/>
      </c>
      <c r="P137" s="17" t="str">
        <f>IF(N137="","",VLOOKUP(MAX(N137,0),Reference!$A$17:$B$20,2,TRUE()))</f>
        <v/>
      </c>
      <c r="Q137" s="17" t="str">
        <f>IF(AND(OR(I137="",O137="",P137=""),OR(R137="",W137=""),OR(X137="",AC137="")),"",IF(OR(I137="",O137="",P137=""),0,I137*O137*P137)+IF(OR(R137="",W137=""),0,R137*IFERROR(INDEX(Reference!$B$61:$B$62,MATCH("Bullpen",Reference!$A$61:$A$62,0)),0)*W137)+IF(OR(X137="",AC137=""),0,X137*VLOOKUP(60,Reference!$A$6:$B$11,2,TRUE())*AC137))</f>
        <v/>
      </c>
      <c r="R137" s="16"/>
      <c r="S137" s="16"/>
      <c r="T137" s="16"/>
      <c r="U137" s="17" t="str">
        <f t="shared" si="17"/>
        <v/>
      </c>
      <c r="V137" s="17" t="str">
        <f t="shared" si="18"/>
        <v/>
      </c>
      <c r="W137" s="17" t="str">
        <f>IF(V137="","",VLOOKUP(MAX(V137,0),Reference!$A$17:$B$20,2,TRUE()))</f>
        <v/>
      </c>
      <c r="X137" s="16"/>
      <c r="Y137" s="16"/>
      <c r="Z137" s="16"/>
      <c r="AA137" s="17" t="str">
        <f t="shared" si="19"/>
        <v/>
      </c>
      <c r="AB137" s="17" t="str">
        <f t="shared" si="20"/>
        <v/>
      </c>
      <c r="AC137" s="17" t="str">
        <f>IF(AB137="","",VLOOKUP(MAX(AB137,0),Reference!$A$17:$B$20,2,TRUE()))</f>
        <v/>
      </c>
      <c r="AD137" s="16"/>
    </row>
    <row r="138" spans="1:30" x14ac:dyDescent="0.3">
      <c r="A138" s="19"/>
      <c r="B138" s="16"/>
      <c r="C138" s="16"/>
      <c r="D138" s="16"/>
      <c r="E138" s="18"/>
      <c r="F138" s="18"/>
      <c r="G138" s="15" t="str">
        <f t="shared" si="14"/>
        <v/>
      </c>
      <c r="H138" s="16"/>
      <c r="I138" s="17" t="str">
        <f>IF(H138&lt;&gt;"",H138,IF(G138="","",ROUND(G138*IFERROR(INDEX(Reference!$B$44:$B$50,MATCH(C138,Reference!$A$44:$A$50,0)),0),0)))</f>
        <v/>
      </c>
      <c r="J138" s="16"/>
      <c r="K138" s="16"/>
      <c r="L138" s="17" t="str">
        <f t="shared" si="15"/>
        <v/>
      </c>
      <c r="M138" s="17" t="str">
        <f>IFERROR(INDEX(Roster!$D$5:$D$40,MATCH(B138,Roster!$A$5:$A$40,0)),"")</f>
        <v/>
      </c>
      <c r="N138" s="17" t="str">
        <f t="shared" si="16"/>
        <v/>
      </c>
      <c r="O138" s="17" t="str">
        <f>IF(OR(C138="Bullpen",C138="Game"),IFERROR(INDEX(Reference!$B$61:$B$62,MATCH(C138,Reference!$A$61:$A$62,0)),""),IF(D138="","",VLOOKUP(D138,Reference!$A$6:$B$11,2,TRUE())))</f>
        <v/>
      </c>
      <c r="P138" s="17" t="str">
        <f>IF(N138="","",VLOOKUP(MAX(N138,0),Reference!$A$17:$B$20,2,TRUE()))</f>
        <v/>
      </c>
      <c r="Q138" s="17" t="str">
        <f>IF(AND(OR(I138="",O138="",P138=""),OR(R138="",W138=""),OR(X138="",AC138="")),"",IF(OR(I138="",O138="",P138=""),0,I138*O138*P138)+IF(OR(R138="",W138=""),0,R138*IFERROR(INDEX(Reference!$B$61:$B$62,MATCH("Bullpen",Reference!$A$61:$A$62,0)),0)*W138)+IF(OR(X138="",AC138=""),0,X138*VLOOKUP(60,Reference!$A$6:$B$11,2,TRUE())*AC138))</f>
        <v/>
      </c>
      <c r="R138" s="16"/>
      <c r="S138" s="16"/>
      <c r="T138" s="16"/>
      <c r="U138" s="17" t="str">
        <f t="shared" si="17"/>
        <v/>
      </c>
      <c r="V138" s="17" t="str">
        <f t="shared" si="18"/>
        <v/>
      </c>
      <c r="W138" s="17" t="str">
        <f>IF(V138="","",VLOOKUP(MAX(V138,0),Reference!$A$17:$B$20,2,TRUE()))</f>
        <v/>
      </c>
      <c r="X138" s="16"/>
      <c r="Y138" s="16"/>
      <c r="Z138" s="16"/>
      <c r="AA138" s="17" t="str">
        <f t="shared" si="19"/>
        <v/>
      </c>
      <c r="AB138" s="17" t="str">
        <f t="shared" si="20"/>
        <v/>
      </c>
      <c r="AC138" s="17" t="str">
        <f>IF(AB138="","",VLOOKUP(MAX(AB138,0),Reference!$A$17:$B$20,2,TRUE()))</f>
        <v/>
      </c>
      <c r="AD138" s="16"/>
    </row>
    <row r="139" spans="1:30" x14ac:dyDescent="0.3">
      <c r="A139" s="19"/>
      <c r="B139" s="16"/>
      <c r="C139" s="16"/>
      <c r="D139" s="16"/>
      <c r="E139" s="18"/>
      <c r="F139" s="18"/>
      <c r="G139" s="15" t="str">
        <f t="shared" si="14"/>
        <v/>
      </c>
      <c r="H139" s="16"/>
      <c r="I139" s="17" t="str">
        <f>IF(H139&lt;&gt;"",H139,IF(G139="","",ROUND(G139*IFERROR(INDEX(Reference!$B$44:$B$50,MATCH(C139,Reference!$A$44:$A$50,0)),0),0)))</f>
        <v/>
      </c>
      <c r="J139" s="16"/>
      <c r="K139" s="16"/>
      <c r="L139" s="17" t="str">
        <f t="shared" si="15"/>
        <v/>
      </c>
      <c r="M139" s="17" t="str">
        <f>IFERROR(INDEX(Roster!$D$5:$D$40,MATCH(B139,Roster!$A$5:$A$40,0)),"")</f>
        <v/>
      </c>
      <c r="N139" s="17" t="str">
        <f t="shared" si="16"/>
        <v/>
      </c>
      <c r="O139" s="17" t="str">
        <f>IF(OR(C139="Bullpen",C139="Game"),IFERROR(INDEX(Reference!$B$61:$B$62,MATCH(C139,Reference!$A$61:$A$62,0)),""),IF(D139="","",VLOOKUP(D139,Reference!$A$6:$B$11,2,TRUE())))</f>
        <v/>
      </c>
      <c r="P139" s="17" t="str">
        <f>IF(N139="","",VLOOKUP(MAX(N139,0),Reference!$A$17:$B$20,2,TRUE()))</f>
        <v/>
      </c>
      <c r="Q139" s="17" t="str">
        <f>IF(AND(OR(I139="",O139="",P139=""),OR(R139="",W139=""),OR(X139="",AC139="")),"",IF(OR(I139="",O139="",P139=""),0,I139*O139*P139)+IF(OR(R139="",W139=""),0,R139*IFERROR(INDEX(Reference!$B$61:$B$62,MATCH("Bullpen",Reference!$A$61:$A$62,0)),0)*W139)+IF(OR(X139="",AC139=""),0,X139*VLOOKUP(60,Reference!$A$6:$B$11,2,TRUE())*AC139))</f>
        <v/>
      </c>
      <c r="R139" s="16"/>
      <c r="S139" s="16"/>
      <c r="T139" s="16"/>
      <c r="U139" s="17" t="str">
        <f t="shared" si="17"/>
        <v/>
      </c>
      <c r="V139" s="17" t="str">
        <f t="shared" si="18"/>
        <v/>
      </c>
      <c r="W139" s="17" t="str">
        <f>IF(V139="","",VLOOKUP(MAX(V139,0),Reference!$A$17:$B$20,2,TRUE()))</f>
        <v/>
      </c>
      <c r="X139" s="16"/>
      <c r="Y139" s="16"/>
      <c r="Z139" s="16"/>
      <c r="AA139" s="17" t="str">
        <f t="shared" si="19"/>
        <v/>
      </c>
      <c r="AB139" s="17" t="str">
        <f t="shared" si="20"/>
        <v/>
      </c>
      <c r="AC139" s="17" t="str">
        <f>IF(AB139="","",VLOOKUP(MAX(AB139,0),Reference!$A$17:$B$20,2,TRUE()))</f>
        <v/>
      </c>
      <c r="AD139" s="16"/>
    </row>
    <row r="140" spans="1:30" x14ac:dyDescent="0.3">
      <c r="A140" s="19"/>
      <c r="B140" s="16"/>
      <c r="C140" s="16"/>
      <c r="D140" s="16"/>
      <c r="E140" s="18"/>
      <c r="F140" s="18"/>
      <c r="G140" s="15" t="str">
        <f t="shared" si="14"/>
        <v/>
      </c>
      <c r="H140" s="16"/>
      <c r="I140" s="17" t="str">
        <f>IF(H140&lt;&gt;"",H140,IF(G140="","",ROUND(G140*IFERROR(INDEX(Reference!$B$44:$B$50,MATCH(C140,Reference!$A$44:$A$50,0)),0),0)))</f>
        <v/>
      </c>
      <c r="J140" s="16"/>
      <c r="K140" s="16"/>
      <c r="L140" s="17" t="str">
        <f t="shared" si="15"/>
        <v/>
      </c>
      <c r="M140" s="17" t="str">
        <f>IFERROR(INDEX(Roster!$D$5:$D$40,MATCH(B140,Roster!$A$5:$A$40,0)),"")</f>
        <v/>
      </c>
      <c r="N140" s="17" t="str">
        <f t="shared" si="16"/>
        <v/>
      </c>
      <c r="O140" s="17" t="str">
        <f>IF(OR(C140="Bullpen",C140="Game"),IFERROR(INDEX(Reference!$B$61:$B$62,MATCH(C140,Reference!$A$61:$A$62,0)),""),IF(D140="","",VLOOKUP(D140,Reference!$A$6:$B$11,2,TRUE())))</f>
        <v/>
      </c>
      <c r="P140" s="17" t="str">
        <f>IF(N140="","",VLOOKUP(MAX(N140,0),Reference!$A$17:$B$20,2,TRUE()))</f>
        <v/>
      </c>
      <c r="Q140" s="17" t="str">
        <f>IF(AND(OR(I140="",O140="",P140=""),OR(R140="",W140=""),OR(X140="",AC140="")),"",IF(OR(I140="",O140="",P140=""),0,I140*O140*P140)+IF(OR(R140="",W140=""),0,R140*IFERROR(INDEX(Reference!$B$61:$B$62,MATCH("Bullpen",Reference!$A$61:$A$62,0)),0)*W140)+IF(OR(X140="",AC140=""),0,X140*VLOOKUP(60,Reference!$A$6:$B$11,2,TRUE())*AC140))</f>
        <v/>
      </c>
      <c r="R140" s="16"/>
      <c r="S140" s="16"/>
      <c r="T140" s="16"/>
      <c r="U140" s="17" t="str">
        <f t="shared" si="17"/>
        <v/>
      </c>
      <c r="V140" s="17" t="str">
        <f t="shared" si="18"/>
        <v/>
      </c>
      <c r="W140" s="17" t="str">
        <f>IF(V140="","",VLOOKUP(MAX(V140,0),Reference!$A$17:$B$20,2,TRUE()))</f>
        <v/>
      </c>
      <c r="X140" s="16"/>
      <c r="Y140" s="16"/>
      <c r="Z140" s="16"/>
      <c r="AA140" s="17" t="str">
        <f t="shared" si="19"/>
        <v/>
      </c>
      <c r="AB140" s="17" t="str">
        <f t="shared" si="20"/>
        <v/>
      </c>
      <c r="AC140" s="17" t="str">
        <f>IF(AB140="","",VLOOKUP(MAX(AB140,0),Reference!$A$17:$B$20,2,TRUE()))</f>
        <v/>
      </c>
      <c r="AD140" s="16"/>
    </row>
    <row r="141" spans="1:30" x14ac:dyDescent="0.3">
      <c r="A141" s="19"/>
      <c r="B141" s="16"/>
      <c r="C141" s="16"/>
      <c r="D141" s="16"/>
      <c r="E141" s="18"/>
      <c r="F141" s="18"/>
      <c r="G141" s="15" t="str">
        <f t="shared" si="14"/>
        <v/>
      </c>
      <c r="H141" s="16"/>
      <c r="I141" s="17" t="str">
        <f>IF(H141&lt;&gt;"",H141,IF(G141="","",ROUND(G141*IFERROR(INDEX(Reference!$B$44:$B$50,MATCH(C141,Reference!$A$44:$A$50,0)),0),0)))</f>
        <v/>
      </c>
      <c r="J141" s="16"/>
      <c r="K141" s="16"/>
      <c r="L141" s="17" t="str">
        <f t="shared" si="15"/>
        <v/>
      </c>
      <c r="M141" s="17" t="str">
        <f>IFERROR(INDEX(Roster!$D$5:$D$40,MATCH(B141,Roster!$A$5:$A$40,0)),"")</f>
        <v/>
      </c>
      <c r="N141" s="17" t="str">
        <f t="shared" si="16"/>
        <v/>
      </c>
      <c r="O141" s="17" t="str">
        <f>IF(OR(C141="Bullpen",C141="Game"),IFERROR(INDEX(Reference!$B$61:$B$62,MATCH(C141,Reference!$A$61:$A$62,0)),""),IF(D141="","",VLOOKUP(D141,Reference!$A$6:$B$11,2,TRUE())))</f>
        <v/>
      </c>
      <c r="P141" s="17" t="str">
        <f>IF(N141="","",VLOOKUP(MAX(N141,0),Reference!$A$17:$B$20,2,TRUE()))</f>
        <v/>
      </c>
      <c r="Q141" s="17" t="str">
        <f>IF(AND(OR(I141="",O141="",P141=""),OR(R141="",W141=""),OR(X141="",AC141="")),"",IF(OR(I141="",O141="",P141=""),0,I141*O141*P141)+IF(OR(R141="",W141=""),0,R141*IFERROR(INDEX(Reference!$B$61:$B$62,MATCH("Bullpen",Reference!$A$61:$A$62,0)),0)*W141)+IF(OR(X141="",AC141=""),0,X141*VLOOKUP(60,Reference!$A$6:$B$11,2,TRUE())*AC141))</f>
        <v/>
      </c>
      <c r="R141" s="16"/>
      <c r="S141" s="16"/>
      <c r="T141" s="16"/>
      <c r="U141" s="17" t="str">
        <f t="shared" si="17"/>
        <v/>
      </c>
      <c r="V141" s="17" t="str">
        <f t="shared" si="18"/>
        <v/>
      </c>
      <c r="W141" s="17" t="str">
        <f>IF(V141="","",VLOOKUP(MAX(V141,0),Reference!$A$17:$B$20,2,TRUE()))</f>
        <v/>
      </c>
      <c r="X141" s="16"/>
      <c r="Y141" s="16"/>
      <c r="Z141" s="16"/>
      <c r="AA141" s="17" t="str">
        <f t="shared" si="19"/>
        <v/>
      </c>
      <c r="AB141" s="17" t="str">
        <f t="shared" si="20"/>
        <v/>
      </c>
      <c r="AC141" s="17" t="str">
        <f>IF(AB141="","",VLOOKUP(MAX(AB141,0),Reference!$A$17:$B$20,2,TRUE()))</f>
        <v/>
      </c>
      <c r="AD141" s="16"/>
    </row>
    <row r="142" spans="1:30" x14ac:dyDescent="0.3">
      <c r="A142" s="19"/>
      <c r="B142" s="16"/>
      <c r="C142" s="16"/>
      <c r="D142" s="16"/>
      <c r="E142" s="18"/>
      <c r="F142" s="18"/>
      <c r="G142" s="15" t="str">
        <f t="shared" si="14"/>
        <v/>
      </c>
      <c r="H142" s="16"/>
      <c r="I142" s="17" t="str">
        <f>IF(H142&lt;&gt;"",H142,IF(G142="","",ROUND(G142*IFERROR(INDEX(Reference!$B$44:$B$50,MATCH(C142,Reference!$A$44:$A$50,0)),0),0)))</f>
        <v/>
      </c>
      <c r="J142" s="16"/>
      <c r="K142" s="16"/>
      <c r="L142" s="17" t="str">
        <f t="shared" si="15"/>
        <v/>
      </c>
      <c r="M142" s="17" t="str">
        <f>IFERROR(INDEX(Roster!$D$5:$D$40,MATCH(B142,Roster!$A$5:$A$40,0)),"")</f>
        <v/>
      </c>
      <c r="N142" s="17" t="str">
        <f t="shared" si="16"/>
        <v/>
      </c>
      <c r="O142" s="17" t="str">
        <f>IF(OR(C142="Bullpen",C142="Game"),IFERROR(INDEX(Reference!$B$61:$B$62,MATCH(C142,Reference!$A$61:$A$62,0)),""),IF(D142="","",VLOOKUP(D142,Reference!$A$6:$B$11,2,TRUE())))</f>
        <v/>
      </c>
      <c r="P142" s="17" t="str">
        <f>IF(N142="","",VLOOKUP(MAX(N142,0),Reference!$A$17:$B$20,2,TRUE()))</f>
        <v/>
      </c>
      <c r="Q142" s="17" t="str">
        <f>IF(AND(OR(I142="",O142="",P142=""),OR(R142="",W142=""),OR(X142="",AC142="")),"",IF(OR(I142="",O142="",P142=""),0,I142*O142*P142)+IF(OR(R142="",W142=""),0,R142*IFERROR(INDEX(Reference!$B$61:$B$62,MATCH("Bullpen",Reference!$A$61:$A$62,0)),0)*W142)+IF(OR(X142="",AC142=""),0,X142*VLOOKUP(60,Reference!$A$6:$B$11,2,TRUE())*AC142))</f>
        <v/>
      </c>
      <c r="R142" s="16"/>
      <c r="S142" s="16"/>
      <c r="T142" s="16"/>
      <c r="U142" s="17" t="str">
        <f t="shared" si="17"/>
        <v/>
      </c>
      <c r="V142" s="17" t="str">
        <f t="shared" si="18"/>
        <v/>
      </c>
      <c r="W142" s="17" t="str">
        <f>IF(V142="","",VLOOKUP(MAX(V142,0),Reference!$A$17:$B$20,2,TRUE()))</f>
        <v/>
      </c>
      <c r="X142" s="16"/>
      <c r="Y142" s="16"/>
      <c r="Z142" s="16"/>
      <c r="AA142" s="17" t="str">
        <f t="shared" si="19"/>
        <v/>
      </c>
      <c r="AB142" s="17" t="str">
        <f t="shared" si="20"/>
        <v/>
      </c>
      <c r="AC142" s="17" t="str">
        <f>IF(AB142="","",VLOOKUP(MAX(AB142,0),Reference!$A$17:$B$20,2,TRUE()))</f>
        <v/>
      </c>
      <c r="AD142" s="16"/>
    </row>
    <row r="143" spans="1:30" x14ac:dyDescent="0.3">
      <c r="A143" s="19"/>
      <c r="B143" s="16"/>
      <c r="C143" s="16"/>
      <c r="D143" s="16"/>
      <c r="E143" s="18"/>
      <c r="F143" s="18"/>
      <c r="G143" s="15" t="str">
        <f t="shared" si="14"/>
        <v/>
      </c>
      <c r="H143" s="16"/>
      <c r="I143" s="17" t="str">
        <f>IF(H143&lt;&gt;"",H143,IF(G143="","",ROUND(G143*IFERROR(INDEX(Reference!$B$44:$B$50,MATCH(C143,Reference!$A$44:$A$50,0)),0),0)))</f>
        <v/>
      </c>
      <c r="J143" s="16"/>
      <c r="K143" s="16"/>
      <c r="L143" s="17" t="str">
        <f t="shared" si="15"/>
        <v/>
      </c>
      <c r="M143" s="17" t="str">
        <f>IFERROR(INDEX(Roster!$D$5:$D$40,MATCH(B143,Roster!$A$5:$A$40,0)),"")</f>
        <v/>
      </c>
      <c r="N143" s="17" t="str">
        <f t="shared" si="16"/>
        <v/>
      </c>
      <c r="O143" s="17" t="str">
        <f>IF(OR(C143="Bullpen",C143="Game"),IFERROR(INDEX(Reference!$B$61:$B$62,MATCH(C143,Reference!$A$61:$A$62,0)),""),IF(D143="","",VLOOKUP(D143,Reference!$A$6:$B$11,2,TRUE())))</f>
        <v/>
      </c>
      <c r="P143" s="17" t="str">
        <f>IF(N143="","",VLOOKUP(MAX(N143,0),Reference!$A$17:$B$20,2,TRUE()))</f>
        <v/>
      </c>
      <c r="Q143" s="17" t="str">
        <f>IF(AND(OR(I143="",O143="",P143=""),OR(R143="",W143=""),OR(X143="",AC143="")),"",IF(OR(I143="",O143="",P143=""),0,I143*O143*P143)+IF(OR(R143="",W143=""),0,R143*IFERROR(INDEX(Reference!$B$61:$B$62,MATCH("Bullpen",Reference!$A$61:$A$62,0)),0)*W143)+IF(OR(X143="",AC143=""),0,X143*VLOOKUP(60,Reference!$A$6:$B$11,2,TRUE())*AC143))</f>
        <v/>
      </c>
      <c r="R143" s="16"/>
      <c r="S143" s="16"/>
      <c r="T143" s="16"/>
      <c r="U143" s="17" t="str">
        <f t="shared" si="17"/>
        <v/>
      </c>
      <c r="V143" s="17" t="str">
        <f t="shared" si="18"/>
        <v/>
      </c>
      <c r="W143" s="17" t="str">
        <f>IF(V143="","",VLOOKUP(MAX(V143,0),Reference!$A$17:$B$20,2,TRUE()))</f>
        <v/>
      </c>
      <c r="X143" s="16"/>
      <c r="Y143" s="16"/>
      <c r="Z143" s="16"/>
      <c r="AA143" s="17" t="str">
        <f t="shared" si="19"/>
        <v/>
      </c>
      <c r="AB143" s="17" t="str">
        <f t="shared" si="20"/>
        <v/>
      </c>
      <c r="AC143" s="17" t="str">
        <f>IF(AB143="","",VLOOKUP(MAX(AB143,0),Reference!$A$17:$B$20,2,TRUE()))</f>
        <v/>
      </c>
      <c r="AD143" s="16"/>
    </row>
    <row r="144" spans="1:30" x14ac:dyDescent="0.3">
      <c r="A144" s="19"/>
      <c r="B144" s="16"/>
      <c r="C144" s="16"/>
      <c r="D144" s="16"/>
      <c r="E144" s="18"/>
      <c r="F144" s="18"/>
      <c r="G144" s="15" t="str">
        <f t="shared" si="14"/>
        <v/>
      </c>
      <c r="H144" s="16"/>
      <c r="I144" s="17" t="str">
        <f>IF(H144&lt;&gt;"",H144,IF(G144="","",ROUND(G144*IFERROR(INDEX(Reference!$B$44:$B$50,MATCH(C144,Reference!$A$44:$A$50,0)),0),0)))</f>
        <v/>
      </c>
      <c r="J144" s="16"/>
      <c r="K144" s="16"/>
      <c r="L144" s="17" t="str">
        <f t="shared" si="15"/>
        <v/>
      </c>
      <c r="M144" s="17" t="str">
        <f>IFERROR(INDEX(Roster!$D$5:$D$40,MATCH(B144,Roster!$A$5:$A$40,0)),"")</f>
        <v/>
      </c>
      <c r="N144" s="17" t="str">
        <f t="shared" si="16"/>
        <v/>
      </c>
      <c r="O144" s="17" t="str">
        <f>IF(OR(C144="Bullpen",C144="Game"),IFERROR(INDEX(Reference!$B$61:$B$62,MATCH(C144,Reference!$A$61:$A$62,0)),""),IF(D144="","",VLOOKUP(D144,Reference!$A$6:$B$11,2,TRUE())))</f>
        <v/>
      </c>
      <c r="P144" s="17" t="str">
        <f>IF(N144="","",VLOOKUP(MAX(N144,0),Reference!$A$17:$B$20,2,TRUE()))</f>
        <v/>
      </c>
      <c r="Q144" s="17" t="str">
        <f>IF(AND(OR(I144="",O144="",P144=""),OR(R144="",W144=""),OR(X144="",AC144="")),"",IF(OR(I144="",O144="",P144=""),0,I144*O144*P144)+IF(OR(R144="",W144=""),0,R144*IFERROR(INDEX(Reference!$B$61:$B$62,MATCH("Bullpen",Reference!$A$61:$A$62,0)),0)*W144)+IF(OR(X144="",AC144=""),0,X144*VLOOKUP(60,Reference!$A$6:$B$11,2,TRUE())*AC144))</f>
        <v/>
      </c>
      <c r="R144" s="16"/>
      <c r="S144" s="16"/>
      <c r="T144" s="16"/>
      <c r="U144" s="17" t="str">
        <f t="shared" si="17"/>
        <v/>
      </c>
      <c r="V144" s="17" t="str">
        <f t="shared" si="18"/>
        <v/>
      </c>
      <c r="W144" s="17" t="str">
        <f>IF(V144="","",VLOOKUP(MAX(V144,0),Reference!$A$17:$B$20,2,TRUE()))</f>
        <v/>
      </c>
      <c r="X144" s="16"/>
      <c r="Y144" s="16"/>
      <c r="Z144" s="16"/>
      <c r="AA144" s="17" t="str">
        <f t="shared" si="19"/>
        <v/>
      </c>
      <c r="AB144" s="17" t="str">
        <f t="shared" si="20"/>
        <v/>
      </c>
      <c r="AC144" s="17" t="str">
        <f>IF(AB144="","",VLOOKUP(MAX(AB144,0),Reference!$A$17:$B$20,2,TRUE()))</f>
        <v/>
      </c>
      <c r="AD144" s="16"/>
    </row>
    <row r="145" spans="1:30" x14ac:dyDescent="0.3">
      <c r="A145" s="19"/>
      <c r="B145" s="16"/>
      <c r="C145" s="16"/>
      <c r="D145" s="16"/>
      <c r="E145" s="18"/>
      <c r="F145" s="18"/>
      <c r="G145" s="15" t="str">
        <f t="shared" si="14"/>
        <v/>
      </c>
      <c r="H145" s="16"/>
      <c r="I145" s="17" t="str">
        <f>IF(H145&lt;&gt;"",H145,IF(G145="","",ROUND(G145*IFERROR(INDEX(Reference!$B$44:$B$50,MATCH(C145,Reference!$A$44:$A$50,0)),0),0)))</f>
        <v/>
      </c>
      <c r="J145" s="16"/>
      <c r="K145" s="16"/>
      <c r="L145" s="17" t="str">
        <f t="shared" si="15"/>
        <v/>
      </c>
      <c r="M145" s="17" t="str">
        <f>IFERROR(INDEX(Roster!$D$5:$D$40,MATCH(B145,Roster!$A$5:$A$40,0)),"")</f>
        <v/>
      </c>
      <c r="N145" s="17" t="str">
        <f t="shared" si="16"/>
        <v/>
      </c>
      <c r="O145" s="17" t="str">
        <f>IF(OR(C145="Bullpen",C145="Game"),IFERROR(INDEX(Reference!$B$61:$B$62,MATCH(C145,Reference!$A$61:$A$62,0)),""),IF(D145="","",VLOOKUP(D145,Reference!$A$6:$B$11,2,TRUE())))</f>
        <v/>
      </c>
      <c r="P145" s="17" t="str">
        <f>IF(N145="","",VLOOKUP(MAX(N145,0),Reference!$A$17:$B$20,2,TRUE()))</f>
        <v/>
      </c>
      <c r="Q145" s="17" t="str">
        <f>IF(AND(OR(I145="",O145="",P145=""),OR(R145="",W145=""),OR(X145="",AC145="")),"",IF(OR(I145="",O145="",P145=""),0,I145*O145*P145)+IF(OR(R145="",W145=""),0,R145*IFERROR(INDEX(Reference!$B$61:$B$62,MATCH("Bullpen",Reference!$A$61:$A$62,0)),0)*W145)+IF(OR(X145="",AC145=""),0,X145*VLOOKUP(60,Reference!$A$6:$B$11,2,TRUE())*AC145))</f>
        <v/>
      </c>
      <c r="R145" s="16"/>
      <c r="S145" s="16"/>
      <c r="T145" s="16"/>
      <c r="U145" s="17" t="str">
        <f t="shared" si="17"/>
        <v/>
      </c>
      <c r="V145" s="17" t="str">
        <f t="shared" si="18"/>
        <v/>
      </c>
      <c r="W145" s="17" t="str">
        <f>IF(V145="","",VLOOKUP(MAX(V145,0),Reference!$A$17:$B$20,2,TRUE()))</f>
        <v/>
      </c>
      <c r="X145" s="16"/>
      <c r="Y145" s="16"/>
      <c r="Z145" s="16"/>
      <c r="AA145" s="17" t="str">
        <f t="shared" si="19"/>
        <v/>
      </c>
      <c r="AB145" s="17" t="str">
        <f t="shared" si="20"/>
        <v/>
      </c>
      <c r="AC145" s="17" t="str">
        <f>IF(AB145="","",VLOOKUP(MAX(AB145,0),Reference!$A$17:$B$20,2,TRUE()))</f>
        <v/>
      </c>
      <c r="AD145" s="16"/>
    </row>
    <row r="146" spans="1:30" x14ac:dyDescent="0.3">
      <c r="A146" s="19"/>
      <c r="B146" s="16"/>
      <c r="C146" s="16"/>
      <c r="D146" s="16"/>
      <c r="E146" s="18"/>
      <c r="F146" s="18"/>
      <c r="G146" s="15" t="str">
        <f t="shared" si="14"/>
        <v/>
      </c>
      <c r="H146" s="16"/>
      <c r="I146" s="17" t="str">
        <f>IF(H146&lt;&gt;"",H146,IF(G146="","",ROUND(G146*IFERROR(INDEX(Reference!$B$44:$B$50,MATCH(C146,Reference!$A$44:$A$50,0)),0),0)))</f>
        <v/>
      </c>
      <c r="J146" s="16"/>
      <c r="K146" s="16"/>
      <c r="L146" s="17" t="str">
        <f t="shared" si="15"/>
        <v/>
      </c>
      <c r="M146" s="17" t="str">
        <f>IFERROR(INDEX(Roster!$D$5:$D$40,MATCH(B146,Roster!$A$5:$A$40,0)),"")</f>
        <v/>
      </c>
      <c r="N146" s="17" t="str">
        <f t="shared" si="16"/>
        <v/>
      </c>
      <c r="O146" s="17" t="str">
        <f>IF(OR(C146="Bullpen",C146="Game"),IFERROR(INDEX(Reference!$B$61:$B$62,MATCH(C146,Reference!$A$61:$A$62,0)),""),IF(D146="","",VLOOKUP(D146,Reference!$A$6:$B$11,2,TRUE())))</f>
        <v/>
      </c>
      <c r="P146" s="17" t="str">
        <f>IF(N146="","",VLOOKUP(MAX(N146,0),Reference!$A$17:$B$20,2,TRUE()))</f>
        <v/>
      </c>
      <c r="Q146" s="17" t="str">
        <f>IF(AND(OR(I146="",O146="",P146=""),OR(R146="",W146=""),OR(X146="",AC146="")),"",IF(OR(I146="",O146="",P146=""),0,I146*O146*P146)+IF(OR(R146="",W146=""),0,R146*IFERROR(INDEX(Reference!$B$61:$B$62,MATCH("Bullpen",Reference!$A$61:$A$62,0)),0)*W146)+IF(OR(X146="",AC146=""),0,X146*VLOOKUP(60,Reference!$A$6:$B$11,2,TRUE())*AC146))</f>
        <v/>
      </c>
      <c r="R146" s="16"/>
      <c r="S146" s="16"/>
      <c r="T146" s="16"/>
      <c r="U146" s="17" t="str">
        <f t="shared" si="17"/>
        <v/>
      </c>
      <c r="V146" s="17" t="str">
        <f t="shared" si="18"/>
        <v/>
      </c>
      <c r="W146" s="17" t="str">
        <f>IF(V146="","",VLOOKUP(MAX(V146,0),Reference!$A$17:$B$20,2,TRUE()))</f>
        <v/>
      </c>
      <c r="X146" s="16"/>
      <c r="Y146" s="16"/>
      <c r="Z146" s="16"/>
      <c r="AA146" s="17" t="str">
        <f t="shared" si="19"/>
        <v/>
      </c>
      <c r="AB146" s="17" t="str">
        <f t="shared" si="20"/>
        <v/>
      </c>
      <c r="AC146" s="17" t="str">
        <f>IF(AB146="","",VLOOKUP(MAX(AB146,0),Reference!$A$17:$B$20,2,TRUE()))</f>
        <v/>
      </c>
      <c r="AD146" s="16"/>
    </row>
    <row r="147" spans="1:30" x14ac:dyDescent="0.3">
      <c r="A147" s="19"/>
      <c r="B147" s="16"/>
      <c r="C147" s="16"/>
      <c r="D147" s="16"/>
      <c r="E147" s="18"/>
      <c r="F147" s="18"/>
      <c r="G147" s="15" t="str">
        <f t="shared" si="14"/>
        <v/>
      </c>
      <c r="H147" s="16"/>
      <c r="I147" s="17" t="str">
        <f>IF(H147&lt;&gt;"",H147,IF(G147="","",ROUND(G147*IFERROR(INDEX(Reference!$B$44:$B$50,MATCH(C147,Reference!$A$44:$A$50,0)),0),0)))</f>
        <v/>
      </c>
      <c r="J147" s="16"/>
      <c r="K147" s="16"/>
      <c r="L147" s="17" t="str">
        <f t="shared" si="15"/>
        <v/>
      </c>
      <c r="M147" s="17" t="str">
        <f>IFERROR(INDEX(Roster!$D$5:$D$40,MATCH(B147,Roster!$A$5:$A$40,0)),"")</f>
        <v/>
      </c>
      <c r="N147" s="17" t="str">
        <f t="shared" si="16"/>
        <v/>
      </c>
      <c r="O147" s="17" t="str">
        <f>IF(OR(C147="Bullpen",C147="Game"),IFERROR(INDEX(Reference!$B$61:$B$62,MATCH(C147,Reference!$A$61:$A$62,0)),""),IF(D147="","",VLOOKUP(D147,Reference!$A$6:$B$11,2,TRUE())))</f>
        <v/>
      </c>
      <c r="P147" s="17" t="str">
        <f>IF(N147="","",VLOOKUP(MAX(N147,0),Reference!$A$17:$B$20,2,TRUE()))</f>
        <v/>
      </c>
      <c r="Q147" s="17" t="str">
        <f>IF(AND(OR(I147="",O147="",P147=""),OR(R147="",W147=""),OR(X147="",AC147="")),"",IF(OR(I147="",O147="",P147=""),0,I147*O147*P147)+IF(OR(R147="",W147=""),0,R147*IFERROR(INDEX(Reference!$B$61:$B$62,MATCH("Bullpen",Reference!$A$61:$A$62,0)),0)*W147)+IF(OR(X147="",AC147=""),0,X147*VLOOKUP(60,Reference!$A$6:$B$11,2,TRUE())*AC147))</f>
        <v/>
      </c>
      <c r="R147" s="16"/>
      <c r="S147" s="16"/>
      <c r="T147" s="16"/>
      <c r="U147" s="17" t="str">
        <f t="shared" si="17"/>
        <v/>
      </c>
      <c r="V147" s="17" t="str">
        <f t="shared" si="18"/>
        <v/>
      </c>
      <c r="W147" s="17" t="str">
        <f>IF(V147="","",VLOOKUP(MAX(V147,0),Reference!$A$17:$B$20,2,TRUE()))</f>
        <v/>
      </c>
      <c r="X147" s="16"/>
      <c r="Y147" s="16"/>
      <c r="Z147" s="16"/>
      <c r="AA147" s="17" t="str">
        <f t="shared" si="19"/>
        <v/>
      </c>
      <c r="AB147" s="17" t="str">
        <f t="shared" si="20"/>
        <v/>
      </c>
      <c r="AC147" s="17" t="str">
        <f>IF(AB147="","",VLOOKUP(MAX(AB147,0),Reference!$A$17:$B$20,2,TRUE()))</f>
        <v/>
      </c>
      <c r="AD147" s="16"/>
    </row>
    <row r="148" spans="1:30" x14ac:dyDescent="0.3">
      <c r="A148" s="19"/>
      <c r="B148" s="16"/>
      <c r="C148" s="16"/>
      <c r="D148" s="16"/>
      <c r="E148" s="18"/>
      <c r="F148" s="18"/>
      <c r="G148" s="15" t="str">
        <f t="shared" si="14"/>
        <v/>
      </c>
      <c r="H148" s="16"/>
      <c r="I148" s="17" t="str">
        <f>IF(H148&lt;&gt;"",H148,IF(G148="","",ROUND(G148*IFERROR(INDEX(Reference!$B$44:$B$50,MATCH(C148,Reference!$A$44:$A$50,0)),0),0)))</f>
        <v/>
      </c>
      <c r="J148" s="16"/>
      <c r="K148" s="16"/>
      <c r="L148" s="17" t="str">
        <f t="shared" si="15"/>
        <v/>
      </c>
      <c r="M148" s="17" t="str">
        <f>IFERROR(INDEX(Roster!$D$5:$D$40,MATCH(B148,Roster!$A$5:$A$40,0)),"")</f>
        <v/>
      </c>
      <c r="N148" s="17" t="str">
        <f t="shared" si="16"/>
        <v/>
      </c>
      <c r="O148" s="17" t="str">
        <f>IF(OR(C148="Bullpen",C148="Game"),IFERROR(INDEX(Reference!$B$61:$B$62,MATCH(C148,Reference!$A$61:$A$62,0)),""),IF(D148="","",VLOOKUP(D148,Reference!$A$6:$B$11,2,TRUE())))</f>
        <v/>
      </c>
      <c r="P148" s="17" t="str">
        <f>IF(N148="","",VLOOKUP(MAX(N148,0),Reference!$A$17:$B$20,2,TRUE()))</f>
        <v/>
      </c>
      <c r="Q148" s="17" t="str">
        <f>IF(AND(OR(I148="",O148="",P148=""),OR(R148="",W148=""),OR(X148="",AC148="")),"",IF(OR(I148="",O148="",P148=""),0,I148*O148*P148)+IF(OR(R148="",W148=""),0,R148*IFERROR(INDEX(Reference!$B$61:$B$62,MATCH("Bullpen",Reference!$A$61:$A$62,0)),0)*W148)+IF(OR(X148="",AC148=""),0,X148*VLOOKUP(60,Reference!$A$6:$B$11,2,TRUE())*AC148))</f>
        <v/>
      </c>
      <c r="R148" s="16"/>
      <c r="S148" s="16"/>
      <c r="T148" s="16"/>
      <c r="U148" s="17" t="str">
        <f t="shared" si="17"/>
        <v/>
      </c>
      <c r="V148" s="17" t="str">
        <f t="shared" si="18"/>
        <v/>
      </c>
      <c r="W148" s="17" t="str">
        <f>IF(V148="","",VLOOKUP(MAX(V148,0),Reference!$A$17:$B$20,2,TRUE()))</f>
        <v/>
      </c>
      <c r="X148" s="16"/>
      <c r="Y148" s="16"/>
      <c r="Z148" s="16"/>
      <c r="AA148" s="17" t="str">
        <f t="shared" si="19"/>
        <v/>
      </c>
      <c r="AB148" s="17" t="str">
        <f t="shared" si="20"/>
        <v/>
      </c>
      <c r="AC148" s="17" t="str">
        <f>IF(AB148="","",VLOOKUP(MAX(AB148,0),Reference!$A$17:$B$20,2,TRUE()))</f>
        <v/>
      </c>
      <c r="AD148" s="16"/>
    </row>
    <row r="149" spans="1:30" x14ac:dyDescent="0.3">
      <c r="A149" s="19"/>
      <c r="B149" s="16"/>
      <c r="C149" s="16"/>
      <c r="D149" s="16"/>
      <c r="E149" s="18"/>
      <c r="F149" s="18"/>
      <c r="G149" s="15" t="str">
        <f t="shared" si="14"/>
        <v/>
      </c>
      <c r="H149" s="16"/>
      <c r="I149" s="17" t="str">
        <f>IF(H149&lt;&gt;"",H149,IF(G149="","",ROUND(G149*IFERROR(INDEX(Reference!$B$44:$B$50,MATCH(C149,Reference!$A$44:$A$50,0)),0),0)))</f>
        <v/>
      </c>
      <c r="J149" s="16"/>
      <c r="K149" s="16"/>
      <c r="L149" s="17" t="str">
        <f t="shared" si="15"/>
        <v/>
      </c>
      <c r="M149" s="17" t="str">
        <f>IFERROR(INDEX(Roster!$D$5:$D$40,MATCH(B149,Roster!$A$5:$A$40,0)),"")</f>
        <v/>
      </c>
      <c r="N149" s="17" t="str">
        <f t="shared" si="16"/>
        <v/>
      </c>
      <c r="O149" s="17" t="str">
        <f>IF(OR(C149="Bullpen",C149="Game"),IFERROR(INDEX(Reference!$B$61:$B$62,MATCH(C149,Reference!$A$61:$A$62,0)),""),IF(D149="","",VLOOKUP(D149,Reference!$A$6:$B$11,2,TRUE())))</f>
        <v/>
      </c>
      <c r="P149" s="17" t="str">
        <f>IF(N149="","",VLOOKUP(MAX(N149,0),Reference!$A$17:$B$20,2,TRUE()))</f>
        <v/>
      </c>
      <c r="Q149" s="17" t="str">
        <f>IF(AND(OR(I149="",O149="",P149=""),OR(R149="",W149=""),OR(X149="",AC149="")),"",IF(OR(I149="",O149="",P149=""),0,I149*O149*P149)+IF(OR(R149="",W149=""),0,R149*IFERROR(INDEX(Reference!$B$61:$B$62,MATCH("Bullpen",Reference!$A$61:$A$62,0)),0)*W149)+IF(OR(X149="",AC149=""),0,X149*VLOOKUP(60,Reference!$A$6:$B$11,2,TRUE())*AC149))</f>
        <v/>
      </c>
      <c r="R149" s="16"/>
      <c r="S149" s="16"/>
      <c r="T149" s="16"/>
      <c r="U149" s="17" t="str">
        <f t="shared" si="17"/>
        <v/>
      </c>
      <c r="V149" s="17" t="str">
        <f t="shared" si="18"/>
        <v/>
      </c>
      <c r="W149" s="17" t="str">
        <f>IF(V149="","",VLOOKUP(MAX(V149,0),Reference!$A$17:$B$20,2,TRUE()))</f>
        <v/>
      </c>
      <c r="X149" s="16"/>
      <c r="Y149" s="16"/>
      <c r="Z149" s="16"/>
      <c r="AA149" s="17" t="str">
        <f t="shared" si="19"/>
        <v/>
      </c>
      <c r="AB149" s="17" t="str">
        <f t="shared" si="20"/>
        <v/>
      </c>
      <c r="AC149" s="17" t="str">
        <f>IF(AB149="","",VLOOKUP(MAX(AB149,0),Reference!$A$17:$B$20,2,TRUE()))</f>
        <v/>
      </c>
      <c r="AD149" s="16"/>
    </row>
    <row r="150" spans="1:30" x14ac:dyDescent="0.3">
      <c r="A150" s="19"/>
      <c r="B150" s="16"/>
      <c r="C150" s="16"/>
      <c r="D150" s="16"/>
      <c r="E150" s="18"/>
      <c r="F150" s="18"/>
      <c r="G150" s="15" t="str">
        <f t="shared" si="14"/>
        <v/>
      </c>
      <c r="H150" s="16"/>
      <c r="I150" s="17" t="str">
        <f>IF(H150&lt;&gt;"",H150,IF(G150="","",ROUND(G150*IFERROR(INDEX(Reference!$B$44:$B$50,MATCH(C150,Reference!$A$44:$A$50,0)),0),0)))</f>
        <v/>
      </c>
      <c r="J150" s="16"/>
      <c r="K150" s="16"/>
      <c r="L150" s="17" t="str">
        <f t="shared" si="15"/>
        <v/>
      </c>
      <c r="M150" s="17" t="str">
        <f>IFERROR(INDEX(Roster!$D$5:$D$40,MATCH(B150,Roster!$A$5:$A$40,0)),"")</f>
        <v/>
      </c>
      <c r="N150" s="17" t="str">
        <f t="shared" si="16"/>
        <v/>
      </c>
      <c r="O150" s="17" t="str">
        <f>IF(OR(C150="Bullpen",C150="Game"),IFERROR(INDEX(Reference!$B$61:$B$62,MATCH(C150,Reference!$A$61:$A$62,0)),""),IF(D150="","",VLOOKUP(D150,Reference!$A$6:$B$11,2,TRUE())))</f>
        <v/>
      </c>
      <c r="P150" s="17" t="str">
        <f>IF(N150="","",VLOOKUP(MAX(N150,0),Reference!$A$17:$B$20,2,TRUE()))</f>
        <v/>
      </c>
      <c r="Q150" s="17" t="str">
        <f>IF(AND(OR(I150="",O150="",P150=""),OR(R150="",W150=""),OR(X150="",AC150="")),"",IF(OR(I150="",O150="",P150=""),0,I150*O150*P150)+IF(OR(R150="",W150=""),0,R150*IFERROR(INDEX(Reference!$B$61:$B$62,MATCH("Bullpen",Reference!$A$61:$A$62,0)),0)*W150)+IF(OR(X150="",AC150=""),0,X150*VLOOKUP(60,Reference!$A$6:$B$11,2,TRUE())*AC150))</f>
        <v/>
      </c>
      <c r="R150" s="16"/>
      <c r="S150" s="16"/>
      <c r="T150" s="16"/>
      <c r="U150" s="17" t="str">
        <f t="shared" si="17"/>
        <v/>
      </c>
      <c r="V150" s="17" t="str">
        <f t="shared" si="18"/>
        <v/>
      </c>
      <c r="W150" s="17" t="str">
        <f>IF(V150="","",VLOOKUP(MAX(V150,0),Reference!$A$17:$B$20,2,TRUE()))</f>
        <v/>
      </c>
      <c r="X150" s="16"/>
      <c r="Y150" s="16"/>
      <c r="Z150" s="16"/>
      <c r="AA150" s="17" t="str">
        <f t="shared" si="19"/>
        <v/>
      </c>
      <c r="AB150" s="17" t="str">
        <f t="shared" si="20"/>
        <v/>
      </c>
      <c r="AC150" s="17" t="str">
        <f>IF(AB150="","",VLOOKUP(MAX(AB150,0),Reference!$A$17:$B$20,2,TRUE()))</f>
        <v/>
      </c>
      <c r="AD150" s="16"/>
    </row>
    <row r="151" spans="1:30" x14ac:dyDescent="0.3">
      <c r="A151" s="19"/>
      <c r="B151" s="16"/>
      <c r="C151" s="16"/>
      <c r="D151" s="16"/>
      <c r="E151" s="18"/>
      <c r="F151" s="18"/>
      <c r="G151" s="15" t="str">
        <f t="shared" si="14"/>
        <v/>
      </c>
      <c r="H151" s="16"/>
      <c r="I151" s="17" t="str">
        <f>IF(H151&lt;&gt;"",H151,IF(G151="","",ROUND(G151*IFERROR(INDEX(Reference!$B$44:$B$50,MATCH(C151,Reference!$A$44:$A$50,0)),0),0)))</f>
        <v/>
      </c>
      <c r="J151" s="16"/>
      <c r="K151" s="16"/>
      <c r="L151" s="17" t="str">
        <f t="shared" si="15"/>
        <v/>
      </c>
      <c r="M151" s="17" t="str">
        <f>IFERROR(INDEX(Roster!$D$5:$D$40,MATCH(B151,Roster!$A$5:$A$40,0)),"")</f>
        <v/>
      </c>
      <c r="N151" s="17" t="str">
        <f t="shared" si="16"/>
        <v/>
      </c>
      <c r="O151" s="17" t="str">
        <f>IF(OR(C151="Bullpen",C151="Game"),IFERROR(INDEX(Reference!$B$61:$B$62,MATCH(C151,Reference!$A$61:$A$62,0)),""),IF(D151="","",VLOOKUP(D151,Reference!$A$6:$B$11,2,TRUE())))</f>
        <v/>
      </c>
      <c r="P151" s="17" t="str">
        <f>IF(N151="","",VLOOKUP(MAX(N151,0),Reference!$A$17:$B$20,2,TRUE()))</f>
        <v/>
      </c>
      <c r="Q151" s="17" t="str">
        <f>IF(AND(OR(I151="",O151="",P151=""),OR(R151="",W151=""),OR(X151="",AC151="")),"",IF(OR(I151="",O151="",P151=""),0,I151*O151*P151)+IF(OR(R151="",W151=""),0,R151*IFERROR(INDEX(Reference!$B$61:$B$62,MATCH("Bullpen",Reference!$A$61:$A$62,0)),0)*W151)+IF(OR(X151="",AC151=""),0,X151*VLOOKUP(60,Reference!$A$6:$B$11,2,TRUE())*AC151))</f>
        <v/>
      </c>
      <c r="R151" s="16"/>
      <c r="S151" s="16"/>
      <c r="T151" s="16"/>
      <c r="U151" s="17" t="str">
        <f t="shared" si="17"/>
        <v/>
      </c>
      <c r="V151" s="17" t="str">
        <f t="shared" si="18"/>
        <v/>
      </c>
      <c r="W151" s="17" t="str">
        <f>IF(V151="","",VLOOKUP(MAX(V151,0),Reference!$A$17:$B$20,2,TRUE()))</f>
        <v/>
      </c>
      <c r="X151" s="16"/>
      <c r="Y151" s="16"/>
      <c r="Z151" s="16"/>
      <c r="AA151" s="17" t="str">
        <f t="shared" si="19"/>
        <v/>
      </c>
      <c r="AB151" s="17" t="str">
        <f t="shared" si="20"/>
        <v/>
      </c>
      <c r="AC151" s="17" t="str">
        <f>IF(AB151="","",VLOOKUP(MAX(AB151,0),Reference!$A$17:$B$20,2,TRUE()))</f>
        <v/>
      </c>
      <c r="AD151" s="16"/>
    </row>
    <row r="152" spans="1:30" x14ac:dyDescent="0.3">
      <c r="A152" s="19"/>
      <c r="B152" s="16"/>
      <c r="C152" s="16"/>
      <c r="D152" s="16"/>
      <c r="E152" s="18"/>
      <c r="F152" s="18"/>
      <c r="G152" s="15" t="str">
        <f t="shared" si="14"/>
        <v/>
      </c>
      <c r="H152" s="16"/>
      <c r="I152" s="17" t="str">
        <f>IF(H152&lt;&gt;"",H152,IF(G152="","",ROUND(G152*IFERROR(INDEX(Reference!$B$44:$B$50,MATCH(C152,Reference!$A$44:$A$50,0)),0),0)))</f>
        <v/>
      </c>
      <c r="J152" s="16"/>
      <c r="K152" s="16"/>
      <c r="L152" s="17" t="str">
        <f t="shared" si="15"/>
        <v/>
      </c>
      <c r="M152" s="17" t="str">
        <f>IFERROR(INDEX(Roster!$D$5:$D$40,MATCH(B152,Roster!$A$5:$A$40,0)),"")</f>
        <v/>
      </c>
      <c r="N152" s="17" t="str">
        <f t="shared" si="16"/>
        <v/>
      </c>
      <c r="O152" s="17" t="str">
        <f>IF(OR(C152="Bullpen",C152="Game"),IFERROR(INDEX(Reference!$B$61:$B$62,MATCH(C152,Reference!$A$61:$A$62,0)),""),IF(D152="","",VLOOKUP(D152,Reference!$A$6:$B$11,2,TRUE())))</f>
        <v/>
      </c>
      <c r="P152" s="17" t="str">
        <f>IF(N152="","",VLOOKUP(MAX(N152,0),Reference!$A$17:$B$20,2,TRUE()))</f>
        <v/>
      </c>
      <c r="Q152" s="17" t="str">
        <f>IF(AND(OR(I152="",O152="",P152=""),OR(R152="",W152=""),OR(X152="",AC152="")),"",IF(OR(I152="",O152="",P152=""),0,I152*O152*P152)+IF(OR(R152="",W152=""),0,R152*IFERROR(INDEX(Reference!$B$61:$B$62,MATCH("Bullpen",Reference!$A$61:$A$62,0)),0)*W152)+IF(OR(X152="",AC152=""),0,X152*VLOOKUP(60,Reference!$A$6:$B$11,2,TRUE())*AC152))</f>
        <v/>
      </c>
      <c r="R152" s="16"/>
      <c r="S152" s="16"/>
      <c r="T152" s="16"/>
      <c r="U152" s="17" t="str">
        <f t="shared" si="17"/>
        <v/>
      </c>
      <c r="V152" s="17" t="str">
        <f t="shared" si="18"/>
        <v/>
      </c>
      <c r="W152" s="17" t="str">
        <f>IF(V152="","",VLOOKUP(MAX(V152,0),Reference!$A$17:$B$20,2,TRUE()))</f>
        <v/>
      </c>
      <c r="X152" s="16"/>
      <c r="Y152" s="16"/>
      <c r="Z152" s="16"/>
      <c r="AA152" s="17" t="str">
        <f t="shared" si="19"/>
        <v/>
      </c>
      <c r="AB152" s="17" t="str">
        <f t="shared" si="20"/>
        <v/>
      </c>
      <c r="AC152" s="17" t="str">
        <f>IF(AB152="","",VLOOKUP(MAX(AB152,0),Reference!$A$17:$B$20,2,TRUE()))</f>
        <v/>
      </c>
      <c r="AD152" s="16"/>
    </row>
    <row r="153" spans="1:30" x14ac:dyDescent="0.3">
      <c r="A153" s="19"/>
      <c r="B153" s="16"/>
      <c r="C153" s="16"/>
      <c r="D153" s="16"/>
      <c r="E153" s="18"/>
      <c r="F153" s="18"/>
      <c r="G153" s="15" t="str">
        <f t="shared" si="14"/>
        <v/>
      </c>
      <c r="H153" s="16"/>
      <c r="I153" s="17" t="str">
        <f>IF(H153&lt;&gt;"",H153,IF(G153="","",ROUND(G153*IFERROR(INDEX(Reference!$B$44:$B$50,MATCH(C153,Reference!$A$44:$A$50,0)),0),0)))</f>
        <v/>
      </c>
      <c r="J153" s="16"/>
      <c r="K153" s="16"/>
      <c r="L153" s="17" t="str">
        <f t="shared" si="15"/>
        <v/>
      </c>
      <c r="M153" s="17" t="str">
        <f>IFERROR(INDEX(Roster!$D$5:$D$40,MATCH(B153,Roster!$A$5:$A$40,0)),"")</f>
        <v/>
      </c>
      <c r="N153" s="17" t="str">
        <f t="shared" si="16"/>
        <v/>
      </c>
      <c r="O153" s="17" t="str">
        <f>IF(OR(C153="Bullpen",C153="Game"),IFERROR(INDEX(Reference!$B$61:$B$62,MATCH(C153,Reference!$A$61:$A$62,0)),""),IF(D153="","",VLOOKUP(D153,Reference!$A$6:$B$11,2,TRUE())))</f>
        <v/>
      </c>
      <c r="P153" s="17" t="str">
        <f>IF(N153="","",VLOOKUP(MAX(N153,0),Reference!$A$17:$B$20,2,TRUE()))</f>
        <v/>
      </c>
      <c r="Q153" s="17" t="str">
        <f>IF(AND(OR(I153="",O153="",P153=""),OR(R153="",W153=""),OR(X153="",AC153="")),"",IF(OR(I153="",O153="",P153=""),0,I153*O153*P153)+IF(OR(R153="",W153=""),0,R153*IFERROR(INDEX(Reference!$B$61:$B$62,MATCH("Bullpen",Reference!$A$61:$A$62,0)),0)*W153)+IF(OR(X153="",AC153=""),0,X153*VLOOKUP(60,Reference!$A$6:$B$11,2,TRUE())*AC153))</f>
        <v/>
      </c>
      <c r="R153" s="16"/>
      <c r="S153" s="16"/>
      <c r="T153" s="16"/>
      <c r="U153" s="17" t="str">
        <f t="shared" si="17"/>
        <v/>
      </c>
      <c r="V153" s="17" t="str">
        <f t="shared" si="18"/>
        <v/>
      </c>
      <c r="W153" s="17" t="str">
        <f>IF(V153="","",VLOOKUP(MAX(V153,0),Reference!$A$17:$B$20,2,TRUE()))</f>
        <v/>
      </c>
      <c r="X153" s="16"/>
      <c r="Y153" s="16"/>
      <c r="Z153" s="16"/>
      <c r="AA153" s="17" t="str">
        <f t="shared" si="19"/>
        <v/>
      </c>
      <c r="AB153" s="17" t="str">
        <f t="shared" si="20"/>
        <v/>
      </c>
      <c r="AC153" s="17" t="str">
        <f>IF(AB153="","",VLOOKUP(MAX(AB153,0),Reference!$A$17:$B$20,2,TRUE()))</f>
        <v/>
      </c>
      <c r="AD153" s="16"/>
    </row>
    <row r="154" spans="1:30" x14ac:dyDescent="0.3">
      <c r="A154" s="19"/>
      <c r="B154" s="16"/>
      <c r="C154" s="16"/>
      <c r="D154" s="16"/>
      <c r="E154" s="18"/>
      <c r="F154" s="18"/>
      <c r="G154" s="15" t="str">
        <f t="shared" si="14"/>
        <v/>
      </c>
      <c r="H154" s="16"/>
      <c r="I154" s="17" t="str">
        <f>IF(H154&lt;&gt;"",H154,IF(G154="","",ROUND(G154*IFERROR(INDEX(Reference!$B$44:$B$50,MATCH(C154,Reference!$A$44:$A$50,0)),0),0)))</f>
        <v/>
      </c>
      <c r="J154" s="16"/>
      <c r="K154" s="16"/>
      <c r="L154" s="17" t="str">
        <f t="shared" si="15"/>
        <v/>
      </c>
      <c r="M154" s="17" t="str">
        <f>IFERROR(INDEX(Roster!$D$5:$D$40,MATCH(B154,Roster!$A$5:$A$40,0)),"")</f>
        <v/>
      </c>
      <c r="N154" s="17" t="str">
        <f t="shared" si="16"/>
        <v/>
      </c>
      <c r="O154" s="17" t="str">
        <f>IF(OR(C154="Bullpen",C154="Game"),IFERROR(INDEX(Reference!$B$61:$B$62,MATCH(C154,Reference!$A$61:$A$62,0)),""),IF(D154="","",VLOOKUP(D154,Reference!$A$6:$B$11,2,TRUE())))</f>
        <v/>
      </c>
      <c r="P154" s="17" t="str">
        <f>IF(N154="","",VLOOKUP(MAX(N154,0),Reference!$A$17:$B$20,2,TRUE()))</f>
        <v/>
      </c>
      <c r="Q154" s="17" t="str">
        <f>IF(AND(OR(I154="",O154="",P154=""),OR(R154="",W154=""),OR(X154="",AC154="")),"",IF(OR(I154="",O154="",P154=""),0,I154*O154*P154)+IF(OR(R154="",W154=""),0,R154*IFERROR(INDEX(Reference!$B$61:$B$62,MATCH("Bullpen",Reference!$A$61:$A$62,0)),0)*W154)+IF(OR(X154="",AC154=""),0,X154*VLOOKUP(60,Reference!$A$6:$B$11,2,TRUE())*AC154))</f>
        <v/>
      </c>
      <c r="R154" s="16"/>
      <c r="S154" s="16"/>
      <c r="T154" s="16"/>
      <c r="U154" s="17" t="str">
        <f t="shared" si="17"/>
        <v/>
      </c>
      <c r="V154" s="17" t="str">
        <f t="shared" si="18"/>
        <v/>
      </c>
      <c r="W154" s="17" t="str">
        <f>IF(V154="","",VLOOKUP(MAX(V154,0),Reference!$A$17:$B$20,2,TRUE()))</f>
        <v/>
      </c>
      <c r="X154" s="16"/>
      <c r="Y154" s="16"/>
      <c r="Z154" s="16"/>
      <c r="AA154" s="17" t="str">
        <f t="shared" si="19"/>
        <v/>
      </c>
      <c r="AB154" s="17" t="str">
        <f t="shared" si="20"/>
        <v/>
      </c>
      <c r="AC154" s="17" t="str">
        <f>IF(AB154="","",VLOOKUP(MAX(AB154,0),Reference!$A$17:$B$20,2,TRUE()))</f>
        <v/>
      </c>
      <c r="AD154" s="16"/>
    </row>
    <row r="155" spans="1:30" x14ac:dyDescent="0.3">
      <c r="A155" s="19"/>
      <c r="B155" s="16"/>
      <c r="C155" s="16"/>
      <c r="D155" s="16"/>
      <c r="E155" s="18"/>
      <c r="F155" s="18"/>
      <c r="G155" s="15" t="str">
        <f t="shared" si="14"/>
        <v/>
      </c>
      <c r="H155" s="16"/>
      <c r="I155" s="17" t="str">
        <f>IF(H155&lt;&gt;"",H155,IF(G155="","",ROUND(G155*IFERROR(INDEX(Reference!$B$44:$B$50,MATCH(C155,Reference!$A$44:$A$50,0)),0),0)))</f>
        <v/>
      </c>
      <c r="J155" s="16"/>
      <c r="K155" s="16"/>
      <c r="L155" s="17" t="str">
        <f t="shared" si="15"/>
        <v/>
      </c>
      <c r="M155" s="17" t="str">
        <f>IFERROR(INDEX(Roster!$D$5:$D$40,MATCH(B155,Roster!$A$5:$A$40,0)),"")</f>
        <v/>
      </c>
      <c r="N155" s="17" t="str">
        <f t="shared" si="16"/>
        <v/>
      </c>
      <c r="O155" s="17" t="str">
        <f>IF(OR(C155="Bullpen",C155="Game"),IFERROR(INDEX(Reference!$B$61:$B$62,MATCH(C155,Reference!$A$61:$A$62,0)),""),IF(D155="","",VLOOKUP(D155,Reference!$A$6:$B$11,2,TRUE())))</f>
        <v/>
      </c>
      <c r="P155" s="17" t="str">
        <f>IF(N155="","",VLOOKUP(MAX(N155,0),Reference!$A$17:$B$20,2,TRUE()))</f>
        <v/>
      </c>
      <c r="Q155" s="17" t="str">
        <f>IF(AND(OR(I155="",O155="",P155=""),OR(R155="",W155=""),OR(X155="",AC155="")),"",IF(OR(I155="",O155="",P155=""),0,I155*O155*P155)+IF(OR(R155="",W155=""),0,R155*IFERROR(INDEX(Reference!$B$61:$B$62,MATCH("Bullpen",Reference!$A$61:$A$62,0)),0)*W155)+IF(OR(X155="",AC155=""),0,X155*VLOOKUP(60,Reference!$A$6:$B$11,2,TRUE())*AC155))</f>
        <v/>
      </c>
      <c r="R155" s="16"/>
      <c r="S155" s="16"/>
      <c r="T155" s="16"/>
      <c r="U155" s="17" t="str">
        <f t="shared" si="17"/>
        <v/>
      </c>
      <c r="V155" s="17" t="str">
        <f t="shared" si="18"/>
        <v/>
      </c>
      <c r="W155" s="17" t="str">
        <f>IF(V155="","",VLOOKUP(MAX(V155,0),Reference!$A$17:$B$20,2,TRUE()))</f>
        <v/>
      </c>
      <c r="X155" s="16"/>
      <c r="Y155" s="16"/>
      <c r="Z155" s="16"/>
      <c r="AA155" s="17" t="str">
        <f t="shared" si="19"/>
        <v/>
      </c>
      <c r="AB155" s="17" t="str">
        <f t="shared" si="20"/>
        <v/>
      </c>
      <c r="AC155" s="17" t="str">
        <f>IF(AB155="","",VLOOKUP(MAX(AB155,0),Reference!$A$17:$B$20,2,TRUE()))</f>
        <v/>
      </c>
      <c r="AD155" s="16"/>
    </row>
    <row r="156" spans="1:30" x14ac:dyDescent="0.3">
      <c r="A156" s="19"/>
      <c r="B156" s="16"/>
      <c r="C156" s="16"/>
      <c r="D156" s="16"/>
      <c r="E156" s="18"/>
      <c r="F156" s="18"/>
      <c r="G156" s="15" t="str">
        <f t="shared" si="14"/>
        <v/>
      </c>
      <c r="H156" s="16"/>
      <c r="I156" s="17" t="str">
        <f>IF(H156&lt;&gt;"",H156,IF(G156="","",ROUND(G156*IFERROR(INDEX(Reference!$B$44:$B$50,MATCH(C156,Reference!$A$44:$A$50,0)),0),0)))</f>
        <v/>
      </c>
      <c r="J156" s="16"/>
      <c r="K156" s="16"/>
      <c r="L156" s="17" t="str">
        <f t="shared" si="15"/>
        <v/>
      </c>
      <c r="M156" s="17" t="str">
        <f>IFERROR(INDEX(Roster!$D$5:$D$40,MATCH(B156,Roster!$A$5:$A$40,0)),"")</f>
        <v/>
      </c>
      <c r="N156" s="17" t="str">
        <f t="shared" si="16"/>
        <v/>
      </c>
      <c r="O156" s="17" t="str">
        <f>IF(OR(C156="Bullpen",C156="Game"),IFERROR(INDEX(Reference!$B$61:$B$62,MATCH(C156,Reference!$A$61:$A$62,0)),""),IF(D156="","",VLOOKUP(D156,Reference!$A$6:$B$11,2,TRUE())))</f>
        <v/>
      </c>
      <c r="P156" s="17" t="str">
        <f>IF(N156="","",VLOOKUP(MAX(N156,0),Reference!$A$17:$B$20,2,TRUE()))</f>
        <v/>
      </c>
      <c r="Q156" s="17" t="str">
        <f>IF(AND(OR(I156="",O156="",P156=""),OR(R156="",W156=""),OR(X156="",AC156="")),"",IF(OR(I156="",O156="",P156=""),0,I156*O156*P156)+IF(OR(R156="",W156=""),0,R156*IFERROR(INDEX(Reference!$B$61:$B$62,MATCH("Bullpen",Reference!$A$61:$A$62,0)),0)*W156)+IF(OR(X156="",AC156=""),0,X156*VLOOKUP(60,Reference!$A$6:$B$11,2,TRUE())*AC156))</f>
        <v/>
      </c>
      <c r="R156" s="16"/>
      <c r="S156" s="16"/>
      <c r="T156" s="16"/>
      <c r="U156" s="17" t="str">
        <f t="shared" si="17"/>
        <v/>
      </c>
      <c r="V156" s="17" t="str">
        <f t="shared" si="18"/>
        <v/>
      </c>
      <c r="W156" s="17" t="str">
        <f>IF(V156="","",VLOOKUP(MAX(V156,0),Reference!$A$17:$B$20,2,TRUE()))</f>
        <v/>
      </c>
      <c r="X156" s="16"/>
      <c r="Y156" s="16"/>
      <c r="Z156" s="16"/>
      <c r="AA156" s="17" t="str">
        <f t="shared" si="19"/>
        <v/>
      </c>
      <c r="AB156" s="17" t="str">
        <f t="shared" si="20"/>
        <v/>
      </c>
      <c r="AC156" s="17" t="str">
        <f>IF(AB156="","",VLOOKUP(MAX(AB156,0),Reference!$A$17:$B$20,2,TRUE()))</f>
        <v/>
      </c>
      <c r="AD156" s="16"/>
    </row>
    <row r="157" spans="1:30" x14ac:dyDescent="0.3">
      <c r="A157" s="19"/>
      <c r="B157" s="16"/>
      <c r="C157" s="16"/>
      <c r="D157" s="16"/>
      <c r="E157" s="18"/>
      <c r="F157" s="18"/>
      <c r="G157" s="15" t="str">
        <f t="shared" si="14"/>
        <v/>
      </c>
      <c r="H157" s="16"/>
      <c r="I157" s="17" t="str">
        <f>IF(H157&lt;&gt;"",H157,IF(G157="","",ROUND(G157*IFERROR(INDEX(Reference!$B$44:$B$50,MATCH(C157,Reference!$A$44:$A$50,0)),0),0)))</f>
        <v/>
      </c>
      <c r="J157" s="16"/>
      <c r="K157" s="16"/>
      <c r="L157" s="17" t="str">
        <f t="shared" si="15"/>
        <v/>
      </c>
      <c r="M157" s="17" t="str">
        <f>IFERROR(INDEX(Roster!$D$5:$D$40,MATCH(B157,Roster!$A$5:$A$40,0)),"")</f>
        <v/>
      </c>
      <c r="N157" s="17" t="str">
        <f t="shared" si="16"/>
        <v/>
      </c>
      <c r="O157" s="17" t="str">
        <f>IF(OR(C157="Bullpen",C157="Game"),IFERROR(INDEX(Reference!$B$61:$B$62,MATCH(C157,Reference!$A$61:$A$62,0)),""),IF(D157="","",VLOOKUP(D157,Reference!$A$6:$B$11,2,TRUE())))</f>
        <v/>
      </c>
      <c r="P157" s="17" t="str">
        <f>IF(N157="","",VLOOKUP(MAX(N157,0),Reference!$A$17:$B$20,2,TRUE()))</f>
        <v/>
      </c>
      <c r="Q157" s="17" t="str">
        <f>IF(AND(OR(I157="",O157="",P157=""),OR(R157="",W157=""),OR(X157="",AC157="")),"",IF(OR(I157="",O157="",P157=""),0,I157*O157*P157)+IF(OR(R157="",W157=""),0,R157*IFERROR(INDEX(Reference!$B$61:$B$62,MATCH("Bullpen",Reference!$A$61:$A$62,0)),0)*W157)+IF(OR(X157="",AC157=""),0,X157*VLOOKUP(60,Reference!$A$6:$B$11,2,TRUE())*AC157))</f>
        <v/>
      </c>
      <c r="R157" s="16"/>
      <c r="S157" s="16"/>
      <c r="T157" s="16"/>
      <c r="U157" s="17" t="str">
        <f t="shared" si="17"/>
        <v/>
      </c>
      <c r="V157" s="17" t="str">
        <f t="shared" si="18"/>
        <v/>
      </c>
      <c r="W157" s="17" t="str">
        <f>IF(V157="","",VLOOKUP(MAX(V157,0),Reference!$A$17:$B$20,2,TRUE()))</f>
        <v/>
      </c>
      <c r="X157" s="16"/>
      <c r="Y157" s="16"/>
      <c r="Z157" s="16"/>
      <c r="AA157" s="17" t="str">
        <f t="shared" si="19"/>
        <v/>
      </c>
      <c r="AB157" s="17" t="str">
        <f t="shared" si="20"/>
        <v/>
      </c>
      <c r="AC157" s="17" t="str">
        <f>IF(AB157="","",VLOOKUP(MAX(AB157,0),Reference!$A$17:$B$20,2,TRUE()))</f>
        <v/>
      </c>
      <c r="AD157" s="16"/>
    </row>
    <row r="158" spans="1:30" x14ac:dyDescent="0.3">
      <c r="A158" s="19"/>
      <c r="B158" s="16"/>
      <c r="C158" s="16"/>
      <c r="D158" s="16"/>
      <c r="E158" s="18"/>
      <c r="F158" s="18"/>
      <c r="G158" s="15" t="str">
        <f t="shared" si="14"/>
        <v/>
      </c>
      <c r="H158" s="16"/>
      <c r="I158" s="17" t="str">
        <f>IF(H158&lt;&gt;"",H158,IF(G158="","",ROUND(G158*IFERROR(INDEX(Reference!$B$44:$B$50,MATCH(C158,Reference!$A$44:$A$50,0)),0),0)))</f>
        <v/>
      </c>
      <c r="J158" s="16"/>
      <c r="K158" s="16"/>
      <c r="L158" s="17" t="str">
        <f t="shared" si="15"/>
        <v/>
      </c>
      <c r="M158" s="17" t="str">
        <f>IFERROR(INDEX(Roster!$D$5:$D$40,MATCH(B158,Roster!$A$5:$A$40,0)),"")</f>
        <v/>
      </c>
      <c r="N158" s="17" t="str">
        <f t="shared" si="16"/>
        <v/>
      </c>
      <c r="O158" s="17" t="str">
        <f>IF(OR(C158="Bullpen",C158="Game"),IFERROR(INDEX(Reference!$B$61:$B$62,MATCH(C158,Reference!$A$61:$A$62,0)),""),IF(D158="","",VLOOKUP(D158,Reference!$A$6:$B$11,2,TRUE())))</f>
        <v/>
      </c>
      <c r="P158" s="17" t="str">
        <f>IF(N158="","",VLOOKUP(MAX(N158,0),Reference!$A$17:$B$20,2,TRUE()))</f>
        <v/>
      </c>
      <c r="Q158" s="17" t="str">
        <f>IF(AND(OR(I158="",O158="",P158=""),OR(R158="",W158=""),OR(X158="",AC158="")),"",IF(OR(I158="",O158="",P158=""),0,I158*O158*P158)+IF(OR(R158="",W158=""),0,R158*IFERROR(INDEX(Reference!$B$61:$B$62,MATCH("Bullpen",Reference!$A$61:$A$62,0)),0)*W158)+IF(OR(X158="",AC158=""),0,X158*VLOOKUP(60,Reference!$A$6:$B$11,2,TRUE())*AC158))</f>
        <v/>
      </c>
      <c r="R158" s="16"/>
      <c r="S158" s="16"/>
      <c r="T158" s="16"/>
      <c r="U158" s="17" t="str">
        <f t="shared" si="17"/>
        <v/>
      </c>
      <c r="V158" s="17" t="str">
        <f t="shared" si="18"/>
        <v/>
      </c>
      <c r="W158" s="17" t="str">
        <f>IF(V158="","",VLOOKUP(MAX(V158,0),Reference!$A$17:$B$20,2,TRUE()))</f>
        <v/>
      </c>
      <c r="X158" s="16"/>
      <c r="Y158" s="16"/>
      <c r="Z158" s="16"/>
      <c r="AA158" s="17" t="str">
        <f t="shared" si="19"/>
        <v/>
      </c>
      <c r="AB158" s="17" t="str">
        <f t="shared" si="20"/>
        <v/>
      </c>
      <c r="AC158" s="17" t="str">
        <f>IF(AB158="","",VLOOKUP(MAX(AB158,0),Reference!$A$17:$B$20,2,TRUE()))</f>
        <v/>
      </c>
      <c r="AD158" s="16"/>
    </row>
    <row r="159" spans="1:30" x14ac:dyDescent="0.3">
      <c r="A159" s="19"/>
      <c r="B159" s="16"/>
      <c r="C159" s="16"/>
      <c r="D159" s="16"/>
      <c r="E159" s="18"/>
      <c r="F159" s="18"/>
      <c r="G159" s="15" t="str">
        <f t="shared" si="14"/>
        <v/>
      </c>
      <c r="H159" s="16"/>
      <c r="I159" s="17" t="str">
        <f>IF(H159&lt;&gt;"",H159,IF(G159="","",ROUND(G159*IFERROR(INDEX(Reference!$B$44:$B$50,MATCH(C159,Reference!$A$44:$A$50,0)),0),0)))</f>
        <v/>
      </c>
      <c r="J159" s="16"/>
      <c r="K159" s="16"/>
      <c r="L159" s="17" t="str">
        <f t="shared" si="15"/>
        <v/>
      </c>
      <c r="M159" s="17" t="str">
        <f>IFERROR(INDEX(Roster!$D$5:$D$40,MATCH(B159,Roster!$A$5:$A$40,0)),"")</f>
        <v/>
      </c>
      <c r="N159" s="17" t="str">
        <f t="shared" si="16"/>
        <v/>
      </c>
      <c r="O159" s="17" t="str">
        <f>IF(OR(C159="Bullpen",C159="Game"),IFERROR(INDEX(Reference!$B$61:$B$62,MATCH(C159,Reference!$A$61:$A$62,0)),""),IF(D159="","",VLOOKUP(D159,Reference!$A$6:$B$11,2,TRUE())))</f>
        <v/>
      </c>
      <c r="P159" s="17" t="str">
        <f>IF(N159="","",VLOOKUP(MAX(N159,0),Reference!$A$17:$B$20,2,TRUE()))</f>
        <v/>
      </c>
      <c r="Q159" s="17" t="str">
        <f>IF(AND(OR(I159="",O159="",P159=""),OR(R159="",W159=""),OR(X159="",AC159="")),"",IF(OR(I159="",O159="",P159=""),0,I159*O159*P159)+IF(OR(R159="",W159=""),0,R159*IFERROR(INDEX(Reference!$B$61:$B$62,MATCH("Bullpen",Reference!$A$61:$A$62,0)),0)*W159)+IF(OR(X159="",AC159=""),0,X159*VLOOKUP(60,Reference!$A$6:$B$11,2,TRUE())*AC159))</f>
        <v/>
      </c>
      <c r="R159" s="16"/>
      <c r="S159" s="16"/>
      <c r="T159" s="16"/>
      <c r="U159" s="17" t="str">
        <f t="shared" si="17"/>
        <v/>
      </c>
      <c r="V159" s="17" t="str">
        <f t="shared" si="18"/>
        <v/>
      </c>
      <c r="W159" s="17" t="str">
        <f>IF(V159="","",VLOOKUP(MAX(V159,0),Reference!$A$17:$B$20,2,TRUE()))</f>
        <v/>
      </c>
      <c r="X159" s="16"/>
      <c r="Y159" s="16"/>
      <c r="Z159" s="16"/>
      <c r="AA159" s="17" t="str">
        <f t="shared" si="19"/>
        <v/>
      </c>
      <c r="AB159" s="17" t="str">
        <f t="shared" si="20"/>
        <v/>
      </c>
      <c r="AC159" s="17" t="str">
        <f>IF(AB159="","",VLOOKUP(MAX(AB159,0),Reference!$A$17:$B$20,2,TRUE()))</f>
        <v/>
      </c>
      <c r="AD159" s="16"/>
    </row>
    <row r="160" spans="1:30" x14ac:dyDescent="0.3">
      <c r="A160" s="19"/>
      <c r="B160" s="16"/>
      <c r="C160" s="16"/>
      <c r="D160" s="16"/>
      <c r="E160" s="18"/>
      <c r="F160" s="18"/>
      <c r="G160" s="15" t="str">
        <f t="shared" si="14"/>
        <v/>
      </c>
      <c r="H160" s="16"/>
      <c r="I160" s="17" t="str">
        <f>IF(H160&lt;&gt;"",H160,IF(G160="","",ROUND(G160*IFERROR(INDEX(Reference!$B$44:$B$50,MATCH(C160,Reference!$A$44:$A$50,0)),0),0)))</f>
        <v/>
      </c>
      <c r="J160" s="16"/>
      <c r="K160" s="16"/>
      <c r="L160" s="17" t="str">
        <f t="shared" si="15"/>
        <v/>
      </c>
      <c r="M160" s="17" t="str">
        <f>IFERROR(INDEX(Roster!$D$5:$D$40,MATCH(B160,Roster!$A$5:$A$40,0)),"")</f>
        <v/>
      </c>
      <c r="N160" s="17" t="str">
        <f t="shared" si="16"/>
        <v/>
      </c>
      <c r="O160" s="17" t="str">
        <f>IF(OR(C160="Bullpen",C160="Game"),IFERROR(INDEX(Reference!$B$61:$B$62,MATCH(C160,Reference!$A$61:$A$62,0)),""),IF(D160="","",VLOOKUP(D160,Reference!$A$6:$B$11,2,TRUE())))</f>
        <v/>
      </c>
      <c r="P160" s="17" t="str">
        <f>IF(N160="","",VLOOKUP(MAX(N160,0),Reference!$A$17:$B$20,2,TRUE()))</f>
        <v/>
      </c>
      <c r="Q160" s="17" t="str">
        <f>IF(AND(OR(I160="",O160="",P160=""),OR(R160="",W160=""),OR(X160="",AC160="")),"",IF(OR(I160="",O160="",P160=""),0,I160*O160*P160)+IF(OR(R160="",W160=""),0,R160*IFERROR(INDEX(Reference!$B$61:$B$62,MATCH("Bullpen",Reference!$A$61:$A$62,0)),0)*W160)+IF(OR(X160="",AC160=""),0,X160*VLOOKUP(60,Reference!$A$6:$B$11,2,TRUE())*AC160))</f>
        <v/>
      </c>
      <c r="R160" s="16"/>
      <c r="S160" s="16"/>
      <c r="T160" s="16"/>
      <c r="U160" s="17" t="str">
        <f t="shared" si="17"/>
        <v/>
      </c>
      <c r="V160" s="17" t="str">
        <f t="shared" si="18"/>
        <v/>
      </c>
      <c r="W160" s="17" t="str">
        <f>IF(V160="","",VLOOKUP(MAX(V160,0),Reference!$A$17:$B$20,2,TRUE()))</f>
        <v/>
      </c>
      <c r="X160" s="16"/>
      <c r="Y160" s="16"/>
      <c r="Z160" s="16"/>
      <c r="AA160" s="17" t="str">
        <f t="shared" si="19"/>
        <v/>
      </c>
      <c r="AB160" s="17" t="str">
        <f t="shared" si="20"/>
        <v/>
      </c>
      <c r="AC160" s="17" t="str">
        <f>IF(AB160="","",VLOOKUP(MAX(AB160,0),Reference!$A$17:$B$20,2,TRUE()))</f>
        <v/>
      </c>
      <c r="AD160" s="16"/>
    </row>
    <row r="161" spans="1:30" x14ac:dyDescent="0.3">
      <c r="A161" s="19"/>
      <c r="B161" s="16"/>
      <c r="C161" s="16"/>
      <c r="D161" s="16"/>
      <c r="E161" s="18"/>
      <c r="F161" s="18"/>
      <c r="G161" s="15" t="str">
        <f t="shared" si="14"/>
        <v/>
      </c>
      <c r="H161" s="16"/>
      <c r="I161" s="17" t="str">
        <f>IF(H161&lt;&gt;"",H161,IF(G161="","",ROUND(G161*IFERROR(INDEX(Reference!$B$44:$B$50,MATCH(C161,Reference!$A$44:$A$50,0)),0),0)))</f>
        <v/>
      </c>
      <c r="J161" s="16"/>
      <c r="K161" s="16"/>
      <c r="L161" s="17" t="str">
        <f t="shared" si="15"/>
        <v/>
      </c>
      <c r="M161" s="17" t="str">
        <f>IFERROR(INDEX(Roster!$D$5:$D$40,MATCH(B161,Roster!$A$5:$A$40,0)),"")</f>
        <v/>
      </c>
      <c r="N161" s="17" t="str">
        <f t="shared" si="16"/>
        <v/>
      </c>
      <c r="O161" s="17" t="str">
        <f>IF(OR(C161="Bullpen",C161="Game"),IFERROR(INDEX(Reference!$B$61:$B$62,MATCH(C161,Reference!$A$61:$A$62,0)),""),IF(D161="","",VLOOKUP(D161,Reference!$A$6:$B$11,2,TRUE())))</f>
        <v/>
      </c>
      <c r="P161" s="17" t="str">
        <f>IF(N161="","",VLOOKUP(MAX(N161,0),Reference!$A$17:$B$20,2,TRUE()))</f>
        <v/>
      </c>
      <c r="Q161" s="17" t="str">
        <f>IF(AND(OR(I161="",O161="",P161=""),OR(R161="",W161=""),OR(X161="",AC161="")),"",IF(OR(I161="",O161="",P161=""),0,I161*O161*P161)+IF(OR(R161="",W161=""),0,R161*IFERROR(INDEX(Reference!$B$61:$B$62,MATCH("Bullpen",Reference!$A$61:$A$62,0)),0)*W161)+IF(OR(X161="",AC161=""),0,X161*VLOOKUP(60,Reference!$A$6:$B$11,2,TRUE())*AC161))</f>
        <v/>
      </c>
      <c r="R161" s="16"/>
      <c r="S161" s="16"/>
      <c r="T161" s="16"/>
      <c r="U161" s="17" t="str">
        <f t="shared" si="17"/>
        <v/>
      </c>
      <c r="V161" s="17" t="str">
        <f t="shared" si="18"/>
        <v/>
      </c>
      <c r="W161" s="17" t="str">
        <f>IF(V161="","",VLOOKUP(MAX(V161,0),Reference!$A$17:$B$20,2,TRUE()))</f>
        <v/>
      </c>
      <c r="X161" s="16"/>
      <c r="Y161" s="16"/>
      <c r="Z161" s="16"/>
      <c r="AA161" s="17" t="str">
        <f t="shared" si="19"/>
        <v/>
      </c>
      <c r="AB161" s="17" t="str">
        <f t="shared" si="20"/>
        <v/>
      </c>
      <c r="AC161" s="17" t="str">
        <f>IF(AB161="","",VLOOKUP(MAX(AB161,0),Reference!$A$17:$B$20,2,TRUE()))</f>
        <v/>
      </c>
      <c r="AD161" s="16"/>
    </row>
    <row r="162" spans="1:30" x14ac:dyDescent="0.3">
      <c r="A162" s="19"/>
      <c r="B162" s="16"/>
      <c r="C162" s="16"/>
      <c r="D162" s="16"/>
      <c r="E162" s="18"/>
      <c r="F162" s="18"/>
      <c r="G162" s="15" t="str">
        <f t="shared" si="14"/>
        <v/>
      </c>
      <c r="H162" s="16"/>
      <c r="I162" s="17" t="str">
        <f>IF(H162&lt;&gt;"",H162,IF(G162="","",ROUND(G162*IFERROR(INDEX(Reference!$B$44:$B$50,MATCH(C162,Reference!$A$44:$A$50,0)),0),0)))</f>
        <v/>
      </c>
      <c r="J162" s="16"/>
      <c r="K162" s="16"/>
      <c r="L162" s="17" t="str">
        <f t="shared" si="15"/>
        <v/>
      </c>
      <c r="M162" s="17" t="str">
        <f>IFERROR(INDEX(Roster!$D$5:$D$40,MATCH(B162,Roster!$A$5:$A$40,0)),"")</f>
        <v/>
      </c>
      <c r="N162" s="17" t="str">
        <f t="shared" si="16"/>
        <v/>
      </c>
      <c r="O162" s="17" t="str">
        <f>IF(OR(C162="Bullpen",C162="Game"),IFERROR(INDEX(Reference!$B$61:$B$62,MATCH(C162,Reference!$A$61:$A$62,0)),""),IF(D162="","",VLOOKUP(D162,Reference!$A$6:$B$11,2,TRUE())))</f>
        <v/>
      </c>
      <c r="P162" s="17" t="str">
        <f>IF(N162="","",VLOOKUP(MAX(N162,0),Reference!$A$17:$B$20,2,TRUE()))</f>
        <v/>
      </c>
      <c r="Q162" s="17" t="str">
        <f>IF(AND(OR(I162="",O162="",P162=""),OR(R162="",W162=""),OR(X162="",AC162="")),"",IF(OR(I162="",O162="",P162=""),0,I162*O162*P162)+IF(OR(R162="",W162=""),0,R162*IFERROR(INDEX(Reference!$B$61:$B$62,MATCH("Bullpen",Reference!$A$61:$A$62,0)),0)*W162)+IF(OR(X162="",AC162=""),0,X162*VLOOKUP(60,Reference!$A$6:$B$11,2,TRUE())*AC162))</f>
        <v/>
      </c>
      <c r="R162" s="16"/>
      <c r="S162" s="16"/>
      <c r="T162" s="16"/>
      <c r="U162" s="17" t="str">
        <f t="shared" si="17"/>
        <v/>
      </c>
      <c r="V162" s="17" t="str">
        <f t="shared" si="18"/>
        <v/>
      </c>
      <c r="W162" s="17" t="str">
        <f>IF(V162="","",VLOOKUP(MAX(V162,0),Reference!$A$17:$B$20,2,TRUE()))</f>
        <v/>
      </c>
      <c r="X162" s="16"/>
      <c r="Y162" s="16"/>
      <c r="Z162" s="16"/>
      <c r="AA162" s="17" t="str">
        <f t="shared" si="19"/>
        <v/>
      </c>
      <c r="AB162" s="17" t="str">
        <f t="shared" si="20"/>
        <v/>
      </c>
      <c r="AC162" s="17" t="str">
        <f>IF(AB162="","",VLOOKUP(MAX(AB162,0),Reference!$A$17:$B$20,2,TRUE()))</f>
        <v/>
      </c>
      <c r="AD162" s="16"/>
    </row>
    <row r="163" spans="1:30" x14ac:dyDescent="0.3">
      <c r="A163" s="19"/>
      <c r="B163" s="16"/>
      <c r="C163" s="16"/>
      <c r="D163" s="16"/>
      <c r="E163" s="18"/>
      <c r="F163" s="18"/>
      <c r="G163" s="15" t="str">
        <f t="shared" si="14"/>
        <v/>
      </c>
      <c r="H163" s="16"/>
      <c r="I163" s="17" t="str">
        <f>IF(H163&lt;&gt;"",H163,IF(G163="","",ROUND(G163*IFERROR(INDEX(Reference!$B$44:$B$50,MATCH(C163,Reference!$A$44:$A$50,0)),0),0)))</f>
        <v/>
      </c>
      <c r="J163" s="16"/>
      <c r="K163" s="16"/>
      <c r="L163" s="17" t="str">
        <f t="shared" si="15"/>
        <v/>
      </c>
      <c r="M163" s="17" t="str">
        <f>IFERROR(INDEX(Roster!$D$5:$D$40,MATCH(B163,Roster!$A$5:$A$40,0)),"")</f>
        <v/>
      </c>
      <c r="N163" s="17" t="str">
        <f t="shared" si="16"/>
        <v/>
      </c>
      <c r="O163" s="17" t="str">
        <f>IF(OR(C163="Bullpen",C163="Game"),IFERROR(INDEX(Reference!$B$61:$B$62,MATCH(C163,Reference!$A$61:$A$62,0)),""),IF(D163="","",VLOOKUP(D163,Reference!$A$6:$B$11,2,TRUE())))</f>
        <v/>
      </c>
      <c r="P163" s="17" t="str">
        <f>IF(N163="","",VLOOKUP(MAX(N163,0),Reference!$A$17:$B$20,2,TRUE()))</f>
        <v/>
      </c>
      <c r="Q163" s="17" t="str">
        <f>IF(AND(OR(I163="",O163="",P163=""),OR(R163="",W163=""),OR(X163="",AC163="")),"",IF(OR(I163="",O163="",P163=""),0,I163*O163*P163)+IF(OR(R163="",W163=""),0,R163*IFERROR(INDEX(Reference!$B$61:$B$62,MATCH("Bullpen",Reference!$A$61:$A$62,0)),0)*W163)+IF(OR(X163="",AC163=""),0,X163*VLOOKUP(60,Reference!$A$6:$B$11,2,TRUE())*AC163))</f>
        <v/>
      </c>
      <c r="R163" s="16"/>
      <c r="S163" s="16"/>
      <c r="T163" s="16"/>
      <c r="U163" s="17" t="str">
        <f t="shared" si="17"/>
        <v/>
      </c>
      <c r="V163" s="17" t="str">
        <f t="shared" si="18"/>
        <v/>
      </c>
      <c r="W163" s="17" t="str">
        <f>IF(V163="","",VLOOKUP(MAX(V163,0),Reference!$A$17:$B$20,2,TRUE()))</f>
        <v/>
      </c>
      <c r="X163" s="16"/>
      <c r="Y163" s="16"/>
      <c r="Z163" s="16"/>
      <c r="AA163" s="17" t="str">
        <f t="shared" si="19"/>
        <v/>
      </c>
      <c r="AB163" s="17" t="str">
        <f t="shared" si="20"/>
        <v/>
      </c>
      <c r="AC163" s="17" t="str">
        <f>IF(AB163="","",VLOOKUP(MAX(AB163,0),Reference!$A$17:$B$20,2,TRUE()))</f>
        <v/>
      </c>
      <c r="AD163" s="16"/>
    </row>
    <row r="164" spans="1:30" x14ac:dyDescent="0.3">
      <c r="A164" s="19"/>
      <c r="B164" s="16"/>
      <c r="C164" s="16"/>
      <c r="D164" s="16"/>
      <c r="E164" s="18"/>
      <c r="F164" s="18"/>
      <c r="G164" s="15" t="str">
        <f t="shared" si="14"/>
        <v/>
      </c>
      <c r="H164" s="16"/>
      <c r="I164" s="17" t="str">
        <f>IF(H164&lt;&gt;"",H164,IF(G164="","",ROUND(G164*IFERROR(INDEX(Reference!$B$44:$B$50,MATCH(C164,Reference!$A$44:$A$50,0)),0),0)))</f>
        <v/>
      </c>
      <c r="J164" s="16"/>
      <c r="K164" s="16"/>
      <c r="L164" s="17" t="str">
        <f t="shared" si="15"/>
        <v/>
      </c>
      <c r="M164" s="17" t="str">
        <f>IFERROR(INDEX(Roster!$D$5:$D$40,MATCH(B164,Roster!$A$5:$A$40,0)),"")</f>
        <v/>
      </c>
      <c r="N164" s="17" t="str">
        <f t="shared" si="16"/>
        <v/>
      </c>
      <c r="O164" s="17" t="str">
        <f>IF(OR(C164="Bullpen",C164="Game"),IFERROR(INDEX(Reference!$B$61:$B$62,MATCH(C164,Reference!$A$61:$A$62,0)),""),IF(D164="","",VLOOKUP(D164,Reference!$A$6:$B$11,2,TRUE())))</f>
        <v/>
      </c>
      <c r="P164" s="17" t="str">
        <f>IF(N164="","",VLOOKUP(MAX(N164,0),Reference!$A$17:$B$20,2,TRUE()))</f>
        <v/>
      </c>
      <c r="Q164" s="17" t="str">
        <f>IF(AND(OR(I164="",O164="",P164=""),OR(R164="",W164=""),OR(X164="",AC164="")),"",IF(OR(I164="",O164="",P164=""),0,I164*O164*P164)+IF(OR(R164="",W164=""),0,R164*IFERROR(INDEX(Reference!$B$61:$B$62,MATCH("Bullpen",Reference!$A$61:$A$62,0)),0)*W164)+IF(OR(X164="",AC164=""),0,X164*VLOOKUP(60,Reference!$A$6:$B$11,2,TRUE())*AC164))</f>
        <v/>
      </c>
      <c r="R164" s="16"/>
      <c r="S164" s="16"/>
      <c r="T164" s="16"/>
      <c r="U164" s="17" t="str">
        <f t="shared" si="17"/>
        <v/>
      </c>
      <c r="V164" s="17" t="str">
        <f t="shared" si="18"/>
        <v/>
      </c>
      <c r="W164" s="17" t="str">
        <f>IF(V164="","",VLOOKUP(MAX(V164,0),Reference!$A$17:$B$20,2,TRUE()))</f>
        <v/>
      </c>
      <c r="X164" s="16"/>
      <c r="Y164" s="16"/>
      <c r="Z164" s="16"/>
      <c r="AA164" s="17" t="str">
        <f t="shared" si="19"/>
        <v/>
      </c>
      <c r="AB164" s="17" t="str">
        <f t="shared" si="20"/>
        <v/>
      </c>
      <c r="AC164" s="17" t="str">
        <f>IF(AB164="","",VLOOKUP(MAX(AB164,0),Reference!$A$17:$B$20,2,TRUE()))</f>
        <v/>
      </c>
      <c r="AD164" s="16"/>
    </row>
    <row r="165" spans="1:30" x14ac:dyDescent="0.3">
      <c r="A165" s="19"/>
      <c r="B165" s="16"/>
      <c r="C165" s="16"/>
      <c r="D165" s="16"/>
      <c r="E165" s="18"/>
      <c r="F165" s="18"/>
      <c r="G165" s="15" t="str">
        <f t="shared" si="14"/>
        <v/>
      </c>
      <c r="H165" s="16"/>
      <c r="I165" s="17" t="str">
        <f>IF(H165&lt;&gt;"",H165,IF(G165="","",ROUND(G165*IFERROR(INDEX(Reference!$B$44:$B$50,MATCH(C165,Reference!$A$44:$A$50,0)),0),0)))</f>
        <v/>
      </c>
      <c r="J165" s="16"/>
      <c r="K165" s="16"/>
      <c r="L165" s="17" t="str">
        <f t="shared" si="15"/>
        <v/>
      </c>
      <c r="M165" s="17" t="str">
        <f>IFERROR(INDEX(Roster!$D$5:$D$40,MATCH(B165,Roster!$A$5:$A$40,0)),"")</f>
        <v/>
      </c>
      <c r="N165" s="17" t="str">
        <f t="shared" si="16"/>
        <v/>
      </c>
      <c r="O165" s="17" t="str">
        <f>IF(OR(C165="Bullpen",C165="Game"),IFERROR(INDEX(Reference!$B$61:$B$62,MATCH(C165,Reference!$A$61:$A$62,0)),""),IF(D165="","",VLOOKUP(D165,Reference!$A$6:$B$11,2,TRUE())))</f>
        <v/>
      </c>
      <c r="P165" s="17" t="str">
        <f>IF(N165="","",VLOOKUP(MAX(N165,0),Reference!$A$17:$B$20,2,TRUE()))</f>
        <v/>
      </c>
      <c r="Q165" s="17" t="str">
        <f>IF(AND(OR(I165="",O165="",P165=""),OR(R165="",W165=""),OR(X165="",AC165="")),"",IF(OR(I165="",O165="",P165=""),0,I165*O165*P165)+IF(OR(R165="",W165=""),0,R165*IFERROR(INDEX(Reference!$B$61:$B$62,MATCH("Bullpen",Reference!$A$61:$A$62,0)),0)*W165)+IF(OR(X165="",AC165=""),0,X165*VLOOKUP(60,Reference!$A$6:$B$11,2,TRUE())*AC165))</f>
        <v/>
      </c>
      <c r="R165" s="16"/>
      <c r="S165" s="16"/>
      <c r="T165" s="16"/>
      <c r="U165" s="17" t="str">
        <f t="shared" si="17"/>
        <v/>
      </c>
      <c r="V165" s="17" t="str">
        <f t="shared" si="18"/>
        <v/>
      </c>
      <c r="W165" s="17" t="str">
        <f>IF(V165="","",VLOOKUP(MAX(V165,0),Reference!$A$17:$B$20,2,TRUE()))</f>
        <v/>
      </c>
      <c r="X165" s="16"/>
      <c r="Y165" s="16"/>
      <c r="Z165" s="16"/>
      <c r="AA165" s="17" t="str">
        <f t="shared" si="19"/>
        <v/>
      </c>
      <c r="AB165" s="17" t="str">
        <f t="shared" si="20"/>
        <v/>
      </c>
      <c r="AC165" s="17" t="str">
        <f>IF(AB165="","",VLOOKUP(MAX(AB165,0),Reference!$A$17:$B$20,2,TRUE()))</f>
        <v/>
      </c>
      <c r="AD165" s="16"/>
    </row>
    <row r="166" spans="1:30" x14ac:dyDescent="0.3">
      <c r="A166" s="19"/>
      <c r="B166" s="16"/>
      <c r="C166" s="16"/>
      <c r="D166" s="16"/>
      <c r="E166" s="18"/>
      <c r="F166" s="18"/>
      <c r="G166" s="15" t="str">
        <f t="shared" si="14"/>
        <v/>
      </c>
      <c r="H166" s="16"/>
      <c r="I166" s="17" t="str">
        <f>IF(H166&lt;&gt;"",H166,IF(G166="","",ROUND(G166*IFERROR(INDEX(Reference!$B$44:$B$50,MATCH(C166,Reference!$A$44:$A$50,0)),0),0)))</f>
        <v/>
      </c>
      <c r="J166" s="16"/>
      <c r="K166" s="16"/>
      <c r="L166" s="17" t="str">
        <f t="shared" si="15"/>
        <v/>
      </c>
      <c r="M166" s="17" t="str">
        <f>IFERROR(INDEX(Roster!$D$5:$D$40,MATCH(B166,Roster!$A$5:$A$40,0)),"")</f>
        <v/>
      </c>
      <c r="N166" s="17" t="str">
        <f t="shared" si="16"/>
        <v/>
      </c>
      <c r="O166" s="17" t="str">
        <f>IF(OR(C166="Bullpen",C166="Game"),IFERROR(INDEX(Reference!$B$61:$B$62,MATCH(C166,Reference!$A$61:$A$62,0)),""),IF(D166="","",VLOOKUP(D166,Reference!$A$6:$B$11,2,TRUE())))</f>
        <v/>
      </c>
      <c r="P166" s="17" t="str">
        <f>IF(N166="","",VLOOKUP(MAX(N166,0),Reference!$A$17:$B$20,2,TRUE()))</f>
        <v/>
      </c>
      <c r="Q166" s="17" t="str">
        <f>IF(AND(OR(I166="",O166="",P166=""),OR(R166="",W166=""),OR(X166="",AC166="")),"",IF(OR(I166="",O166="",P166=""),0,I166*O166*P166)+IF(OR(R166="",W166=""),0,R166*IFERROR(INDEX(Reference!$B$61:$B$62,MATCH("Bullpen",Reference!$A$61:$A$62,0)),0)*W166)+IF(OR(X166="",AC166=""),0,X166*VLOOKUP(60,Reference!$A$6:$B$11,2,TRUE())*AC166))</f>
        <v/>
      </c>
      <c r="R166" s="16"/>
      <c r="S166" s="16"/>
      <c r="T166" s="16"/>
      <c r="U166" s="17" t="str">
        <f t="shared" si="17"/>
        <v/>
      </c>
      <c r="V166" s="17" t="str">
        <f t="shared" si="18"/>
        <v/>
      </c>
      <c r="W166" s="17" t="str">
        <f>IF(V166="","",VLOOKUP(MAX(V166,0),Reference!$A$17:$B$20,2,TRUE()))</f>
        <v/>
      </c>
      <c r="X166" s="16"/>
      <c r="Y166" s="16"/>
      <c r="Z166" s="16"/>
      <c r="AA166" s="17" t="str">
        <f t="shared" si="19"/>
        <v/>
      </c>
      <c r="AB166" s="17" t="str">
        <f t="shared" si="20"/>
        <v/>
      </c>
      <c r="AC166" s="17" t="str">
        <f>IF(AB166="","",VLOOKUP(MAX(AB166,0),Reference!$A$17:$B$20,2,TRUE()))</f>
        <v/>
      </c>
      <c r="AD166" s="16"/>
    </row>
    <row r="167" spans="1:30" x14ac:dyDescent="0.3">
      <c r="A167" s="19"/>
      <c r="B167" s="16"/>
      <c r="C167" s="16"/>
      <c r="D167" s="16"/>
      <c r="E167" s="18"/>
      <c r="F167" s="18"/>
      <c r="G167" s="15" t="str">
        <f t="shared" si="14"/>
        <v/>
      </c>
      <c r="H167" s="16"/>
      <c r="I167" s="17" t="str">
        <f>IF(H167&lt;&gt;"",H167,IF(G167="","",ROUND(G167*IFERROR(INDEX(Reference!$B$44:$B$50,MATCH(C167,Reference!$A$44:$A$50,0)),0),0)))</f>
        <v/>
      </c>
      <c r="J167" s="16"/>
      <c r="K167" s="16"/>
      <c r="L167" s="17" t="str">
        <f t="shared" si="15"/>
        <v/>
      </c>
      <c r="M167" s="17" t="str">
        <f>IFERROR(INDEX(Roster!$D$5:$D$40,MATCH(B167,Roster!$A$5:$A$40,0)),"")</f>
        <v/>
      </c>
      <c r="N167" s="17" t="str">
        <f t="shared" si="16"/>
        <v/>
      </c>
      <c r="O167" s="17" t="str">
        <f>IF(OR(C167="Bullpen",C167="Game"),IFERROR(INDEX(Reference!$B$61:$B$62,MATCH(C167,Reference!$A$61:$A$62,0)),""),IF(D167="","",VLOOKUP(D167,Reference!$A$6:$B$11,2,TRUE())))</f>
        <v/>
      </c>
      <c r="P167" s="17" t="str">
        <f>IF(N167="","",VLOOKUP(MAX(N167,0),Reference!$A$17:$B$20,2,TRUE()))</f>
        <v/>
      </c>
      <c r="Q167" s="17" t="str">
        <f>IF(AND(OR(I167="",O167="",P167=""),OR(R167="",W167=""),OR(X167="",AC167="")),"",IF(OR(I167="",O167="",P167=""),0,I167*O167*P167)+IF(OR(R167="",W167=""),0,R167*IFERROR(INDEX(Reference!$B$61:$B$62,MATCH("Bullpen",Reference!$A$61:$A$62,0)),0)*W167)+IF(OR(X167="",AC167=""),0,X167*VLOOKUP(60,Reference!$A$6:$B$11,2,TRUE())*AC167))</f>
        <v/>
      </c>
      <c r="R167" s="16"/>
      <c r="S167" s="16"/>
      <c r="T167" s="16"/>
      <c r="U167" s="17" t="str">
        <f t="shared" si="17"/>
        <v/>
      </c>
      <c r="V167" s="17" t="str">
        <f t="shared" si="18"/>
        <v/>
      </c>
      <c r="W167" s="17" t="str">
        <f>IF(V167="","",VLOOKUP(MAX(V167,0),Reference!$A$17:$B$20,2,TRUE()))</f>
        <v/>
      </c>
      <c r="X167" s="16"/>
      <c r="Y167" s="16"/>
      <c r="Z167" s="16"/>
      <c r="AA167" s="17" t="str">
        <f t="shared" si="19"/>
        <v/>
      </c>
      <c r="AB167" s="17" t="str">
        <f t="shared" si="20"/>
        <v/>
      </c>
      <c r="AC167" s="17" t="str">
        <f>IF(AB167="","",VLOOKUP(MAX(AB167,0),Reference!$A$17:$B$20,2,TRUE()))</f>
        <v/>
      </c>
      <c r="AD167" s="16"/>
    </row>
    <row r="168" spans="1:30" x14ac:dyDescent="0.3">
      <c r="A168" s="19"/>
      <c r="B168" s="16"/>
      <c r="C168" s="16"/>
      <c r="D168" s="16"/>
      <c r="E168" s="18"/>
      <c r="F168" s="18"/>
      <c r="G168" s="15" t="str">
        <f t="shared" si="14"/>
        <v/>
      </c>
      <c r="H168" s="16"/>
      <c r="I168" s="17" t="str">
        <f>IF(H168&lt;&gt;"",H168,IF(G168="","",ROUND(G168*IFERROR(INDEX(Reference!$B$44:$B$50,MATCH(C168,Reference!$A$44:$A$50,0)),0),0)))</f>
        <v/>
      </c>
      <c r="J168" s="16"/>
      <c r="K168" s="16"/>
      <c r="L168" s="17" t="str">
        <f t="shared" si="15"/>
        <v/>
      </c>
      <c r="M168" s="17" t="str">
        <f>IFERROR(INDEX(Roster!$D$5:$D$40,MATCH(B168,Roster!$A$5:$A$40,0)),"")</f>
        <v/>
      </c>
      <c r="N168" s="17" t="str">
        <f t="shared" si="16"/>
        <v/>
      </c>
      <c r="O168" s="17" t="str">
        <f>IF(OR(C168="Bullpen",C168="Game"),IFERROR(INDEX(Reference!$B$61:$B$62,MATCH(C168,Reference!$A$61:$A$62,0)),""),IF(D168="","",VLOOKUP(D168,Reference!$A$6:$B$11,2,TRUE())))</f>
        <v/>
      </c>
      <c r="P168" s="17" t="str">
        <f>IF(N168="","",VLOOKUP(MAX(N168,0),Reference!$A$17:$B$20,2,TRUE()))</f>
        <v/>
      </c>
      <c r="Q168" s="17" t="str">
        <f>IF(AND(OR(I168="",O168="",P168=""),OR(R168="",W168=""),OR(X168="",AC168="")),"",IF(OR(I168="",O168="",P168=""),0,I168*O168*P168)+IF(OR(R168="",W168=""),0,R168*IFERROR(INDEX(Reference!$B$61:$B$62,MATCH("Bullpen",Reference!$A$61:$A$62,0)),0)*W168)+IF(OR(X168="",AC168=""),0,X168*VLOOKUP(60,Reference!$A$6:$B$11,2,TRUE())*AC168))</f>
        <v/>
      </c>
      <c r="R168" s="16"/>
      <c r="S168" s="16"/>
      <c r="T168" s="16"/>
      <c r="U168" s="17" t="str">
        <f t="shared" si="17"/>
        <v/>
      </c>
      <c r="V168" s="17" t="str">
        <f t="shared" si="18"/>
        <v/>
      </c>
      <c r="W168" s="17" t="str">
        <f>IF(V168="","",VLOOKUP(MAX(V168,0),Reference!$A$17:$B$20,2,TRUE()))</f>
        <v/>
      </c>
      <c r="X168" s="16"/>
      <c r="Y168" s="16"/>
      <c r="Z168" s="16"/>
      <c r="AA168" s="17" t="str">
        <f t="shared" si="19"/>
        <v/>
      </c>
      <c r="AB168" s="17" t="str">
        <f t="shared" si="20"/>
        <v/>
      </c>
      <c r="AC168" s="17" t="str">
        <f>IF(AB168="","",VLOOKUP(MAX(AB168,0),Reference!$A$17:$B$20,2,TRUE()))</f>
        <v/>
      </c>
      <c r="AD168" s="16"/>
    </row>
    <row r="169" spans="1:30" x14ac:dyDescent="0.3">
      <c r="A169" s="19"/>
      <c r="B169" s="16"/>
      <c r="C169" s="16"/>
      <c r="D169" s="16"/>
      <c r="E169" s="18"/>
      <c r="F169" s="18"/>
      <c r="G169" s="15" t="str">
        <f t="shared" si="14"/>
        <v/>
      </c>
      <c r="H169" s="16"/>
      <c r="I169" s="17" t="str">
        <f>IF(H169&lt;&gt;"",H169,IF(G169="","",ROUND(G169*IFERROR(INDEX(Reference!$B$44:$B$50,MATCH(C169,Reference!$A$44:$A$50,0)),0),0)))</f>
        <v/>
      </c>
      <c r="J169" s="16"/>
      <c r="K169" s="16"/>
      <c r="L169" s="17" t="str">
        <f t="shared" si="15"/>
        <v/>
      </c>
      <c r="M169" s="17" t="str">
        <f>IFERROR(INDEX(Roster!$D$5:$D$40,MATCH(B169,Roster!$A$5:$A$40,0)),"")</f>
        <v/>
      </c>
      <c r="N169" s="17" t="str">
        <f t="shared" si="16"/>
        <v/>
      </c>
      <c r="O169" s="17" t="str">
        <f>IF(OR(C169="Bullpen",C169="Game"),IFERROR(INDEX(Reference!$B$61:$B$62,MATCH(C169,Reference!$A$61:$A$62,0)),""),IF(D169="","",VLOOKUP(D169,Reference!$A$6:$B$11,2,TRUE())))</f>
        <v/>
      </c>
      <c r="P169" s="17" t="str">
        <f>IF(N169="","",VLOOKUP(MAX(N169,0),Reference!$A$17:$B$20,2,TRUE()))</f>
        <v/>
      </c>
      <c r="Q169" s="17" t="str">
        <f>IF(AND(OR(I169="",O169="",P169=""),OR(R169="",W169=""),OR(X169="",AC169="")),"",IF(OR(I169="",O169="",P169=""),0,I169*O169*P169)+IF(OR(R169="",W169=""),0,R169*IFERROR(INDEX(Reference!$B$61:$B$62,MATCH("Bullpen",Reference!$A$61:$A$62,0)),0)*W169)+IF(OR(X169="",AC169=""),0,X169*VLOOKUP(60,Reference!$A$6:$B$11,2,TRUE())*AC169))</f>
        <v/>
      </c>
      <c r="R169" s="16"/>
      <c r="S169" s="16"/>
      <c r="T169" s="16"/>
      <c r="U169" s="17" t="str">
        <f t="shared" si="17"/>
        <v/>
      </c>
      <c r="V169" s="17" t="str">
        <f t="shared" si="18"/>
        <v/>
      </c>
      <c r="W169" s="17" t="str">
        <f>IF(V169="","",VLOOKUP(MAX(V169,0),Reference!$A$17:$B$20,2,TRUE()))</f>
        <v/>
      </c>
      <c r="X169" s="16"/>
      <c r="Y169" s="16"/>
      <c r="Z169" s="16"/>
      <c r="AA169" s="17" t="str">
        <f t="shared" si="19"/>
        <v/>
      </c>
      <c r="AB169" s="17" t="str">
        <f t="shared" si="20"/>
        <v/>
      </c>
      <c r="AC169" s="17" t="str">
        <f>IF(AB169="","",VLOOKUP(MAX(AB169,0),Reference!$A$17:$B$20,2,TRUE()))</f>
        <v/>
      </c>
      <c r="AD169" s="16"/>
    </row>
    <row r="170" spans="1:30" x14ac:dyDescent="0.3">
      <c r="A170" s="19"/>
      <c r="B170" s="16"/>
      <c r="C170" s="16"/>
      <c r="D170" s="16"/>
      <c r="E170" s="18"/>
      <c r="F170" s="18"/>
      <c r="G170" s="15" t="str">
        <f t="shared" si="14"/>
        <v/>
      </c>
      <c r="H170" s="16"/>
      <c r="I170" s="17" t="str">
        <f>IF(H170&lt;&gt;"",H170,IF(G170="","",ROUND(G170*IFERROR(INDEX(Reference!$B$44:$B$50,MATCH(C170,Reference!$A$44:$A$50,0)),0),0)))</f>
        <v/>
      </c>
      <c r="J170" s="16"/>
      <c r="K170" s="16"/>
      <c r="L170" s="17" t="str">
        <f t="shared" si="15"/>
        <v/>
      </c>
      <c r="M170" s="17" t="str">
        <f>IFERROR(INDEX(Roster!$D$5:$D$40,MATCH(B170,Roster!$A$5:$A$40,0)),"")</f>
        <v/>
      </c>
      <c r="N170" s="17" t="str">
        <f t="shared" si="16"/>
        <v/>
      </c>
      <c r="O170" s="17" t="str">
        <f>IF(OR(C170="Bullpen",C170="Game"),IFERROR(INDEX(Reference!$B$61:$B$62,MATCH(C170,Reference!$A$61:$A$62,0)),""),IF(D170="","",VLOOKUP(D170,Reference!$A$6:$B$11,2,TRUE())))</f>
        <v/>
      </c>
      <c r="P170" s="17" t="str">
        <f>IF(N170="","",VLOOKUP(MAX(N170,0),Reference!$A$17:$B$20,2,TRUE()))</f>
        <v/>
      </c>
      <c r="Q170" s="17" t="str">
        <f>IF(AND(OR(I170="",O170="",P170=""),OR(R170="",W170=""),OR(X170="",AC170="")),"",IF(OR(I170="",O170="",P170=""),0,I170*O170*P170)+IF(OR(R170="",W170=""),0,R170*IFERROR(INDEX(Reference!$B$61:$B$62,MATCH("Bullpen",Reference!$A$61:$A$62,0)),0)*W170)+IF(OR(X170="",AC170=""),0,X170*VLOOKUP(60,Reference!$A$6:$B$11,2,TRUE())*AC170))</f>
        <v/>
      </c>
      <c r="R170" s="16"/>
      <c r="S170" s="16"/>
      <c r="T170" s="16"/>
      <c r="U170" s="17" t="str">
        <f t="shared" si="17"/>
        <v/>
      </c>
      <c r="V170" s="17" t="str">
        <f t="shared" si="18"/>
        <v/>
      </c>
      <c r="W170" s="17" t="str">
        <f>IF(V170="","",VLOOKUP(MAX(V170,0),Reference!$A$17:$B$20,2,TRUE()))</f>
        <v/>
      </c>
      <c r="X170" s="16"/>
      <c r="Y170" s="16"/>
      <c r="Z170" s="16"/>
      <c r="AA170" s="17" t="str">
        <f t="shared" si="19"/>
        <v/>
      </c>
      <c r="AB170" s="17" t="str">
        <f t="shared" si="20"/>
        <v/>
      </c>
      <c r="AC170" s="17" t="str">
        <f>IF(AB170="","",VLOOKUP(MAX(AB170,0),Reference!$A$17:$B$20,2,TRUE()))</f>
        <v/>
      </c>
      <c r="AD170" s="16"/>
    </row>
    <row r="171" spans="1:30" x14ac:dyDescent="0.3">
      <c r="A171" s="19"/>
      <c r="B171" s="16"/>
      <c r="C171" s="16"/>
      <c r="D171" s="16"/>
      <c r="E171" s="18"/>
      <c r="F171" s="18"/>
      <c r="G171" s="15" t="str">
        <f t="shared" si="14"/>
        <v/>
      </c>
      <c r="H171" s="16"/>
      <c r="I171" s="17" t="str">
        <f>IF(H171&lt;&gt;"",H171,IF(G171="","",ROUND(G171*IFERROR(INDEX(Reference!$B$44:$B$50,MATCH(C171,Reference!$A$44:$A$50,0)),0),0)))</f>
        <v/>
      </c>
      <c r="J171" s="16"/>
      <c r="K171" s="16"/>
      <c r="L171" s="17" t="str">
        <f t="shared" si="15"/>
        <v/>
      </c>
      <c r="M171" s="17" t="str">
        <f>IFERROR(INDEX(Roster!$D$5:$D$40,MATCH(B171,Roster!$A$5:$A$40,0)),"")</f>
        <v/>
      </c>
      <c r="N171" s="17" t="str">
        <f t="shared" si="16"/>
        <v/>
      </c>
      <c r="O171" s="17" t="str">
        <f>IF(OR(C171="Bullpen",C171="Game"),IFERROR(INDEX(Reference!$B$61:$B$62,MATCH(C171,Reference!$A$61:$A$62,0)),""),IF(D171="","",VLOOKUP(D171,Reference!$A$6:$B$11,2,TRUE())))</f>
        <v/>
      </c>
      <c r="P171" s="17" t="str">
        <f>IF(N171="","",VLOOKUP(MAX(N171,0),Reference!$A$17:$B$20,2,TRUE()))</f>
        <v/>
      </c>
      <c r="Q171" s="17" t="str">
        <f>IF(AND(OR(I171="",O171="",P171=""),OR(R171="",W171=""),OR(X171="",AC171="")),"",IF(OR(I171="",O171="",P171=""),0,I171*O171*P171)+IF(OR(R171="",W171=""),0,R171*IFERROR(INDEX(Reference!$B$61:$B$62,MATCH("Bullpen",Reference!$A$61:$A$62,0)),0)*W171)+IF(OR(X171="",AC171=""),0,X171*VLOOKUP(60,Reference!$A$6:$B$11,2,TRUE())*AC171))</f>
        <v/>
      </c>
      <c r="R171" s="16"/>
      <c r="S171" s="16"/>
      <c r="T171" s="16"/>
      <c r="U171" s="17" t="str">
        <f t="shared" si="17"/>
        <v/>
      </c>
      <c r="V171" s="17" t="str">
        <f t="shared" si="18"/>
        <v/>
      </c>
      <c r="W171" s="17" t="str">
        <f>IF(V171="","",VLOOKUP(MAX(V171,0),Reference!$A$17:$B$20,2,TRUE()))</f>
        <v/>
      </c>
      <c r="X171" s="16"/>
      <c r="Y171" s="16"/>
      <c r="Z171" s="16"/>
      <c r="AA171" s="17" t="str">
        <f t="shared" si="19"/>
        <v/>
      </c>
      <c r="AB171" s="17" t="str">
        <f t="shared" si="20"/>
        <v/>
      </c>
      <c r="AC171" s="17" t="str">
        <f>IF(AB171="","",VLOOKUP(MAX(AB171,0),Reference!$A$17:$B$20,2,TRUE()))</f>
        <v/>
      </c>
      <c r="AD171" s="16"/>
    </row>
    <row r="172" spans="1:30" x14ac:dyDescent="0.3">
      <c r="A172" s="19"/>
      <c r="B172" s="16"/>
      <c r="C172" s="16"/>
      <c r="D172" s="16"/>
      <c r="E172" s="18"/>
      <c r="F172" s="18"/>
      <c r="G172" s="15" t="str">
        <f t="shared" si="14"/>
        <v/>
      </c>
      <c r="H172" s="16"/>
      <c r="I172" s="17" t="str">
        <f>IF(H172&lt;&gt;"",H172,IF(G172="","",ROUND(G172*IFERROR(INDEX(Reference!$B$44:$B$50,MATCH(C172,Reference!$A$44:$A$50,0)),0),0)))</f>
        <v/>
      </c>
      <c r="J172" s="16"/>
      <c r="K172" s="16"/>
      <c r="L172" s="17" t="str">
        <f t="shared" si="15"/>
        <v/>
      </c>
      <c r="M172" s="17" t="str">
        <f>IFERROR(INDEX(Roster!$D$5:$D$40,MATCH(B172,Roster!$A$5:$A$40,0)),"")</f>
        <v/>
      </c>
      <c r="N172" s="17" t="str">
        <f t="shared" si="16"/>
        <v/>
      </c>
      <c r="O172" s="17" t="str">
        <f>IF(OR(C172="Bullpen",C172="Game"),IFERROR(INDEX(Reference!$B$61:$B$62,MATCH(C172,Reference!$A$61:$A$62,0)),""),IF(D172="","",VLOOKUP(D172,Reference!$A$6:$B$11,2,TRUE())))</f>
        <v/>
      </c>
      <c r="P172" s="17" t="str">
        <f>IF(N172="","",VLOOKUP(MAX(N172,0),Reference!$A$17:$B$20,2,TRUE()))</f>
        <v/>
      </c>
      <c r="Q172" s="17" t="str">
        <f>IF(AND(OR(I172="",O172="",P172=""),OR(R172="",W172=""),OR(X172="",AC172="")),"",IF(OR(I172="",O172="",P172=""),0,I172*O172*P172)+IF(OR(R172="",W172=""),0,R172*IFERROR(INDEX(Reference!$B$61:$B$62,MATCH("Bullpen",Reference!$A$61:$A$62,0)),0)*W172)+IF(OR(X172="",AC172=""),0,X172*VLOOKUP(60,Reference!$A$6:$B$11,2,TRUE())*AC172))</f>
        <v/>
      </c>
      <c r="R172" s="16"/>
      <c r="S172" s="16"/>
      <c r="T172" s="16"/>
      <c r="U172" s="17" t="str">
        <f t="shared" si="17"/>
        <v/>
      </c>
      <c r="V172" s="17" t="str">
        <f t="shared" si="18"/>
        <v/>
      </c>
      <c r="W172" s="17" t="str">
        <f>IF(V172="","",VLOOKUP(MAX(V172,0),Reference!$A$17:$B$20,2,TRUE()))</f>
        <v/>
      </c>
      <c r="X172" s="16"/>
      <c r="Y172" s="16"/>
      <c r="Z172" s="16"/>
      <c r="AA172" s="17" t="str">
        <f t="shared" si="19"/>
        <v/>
      </c>
      <c r="AB172" s="17" t="str">
        <f t="shared" si="20"/>
        <v/>
      </c>
      <c r="AC172" s="17" t="str">
        <f>IF(AB172="","",VLOOKUP(MAX(AB172,0),Reference!$A$17:$B$20,2,TRUE()))</f>
        <v/>
      </c>
      <c r="AD172" s="16"/>
    </row>
    <row r="173" spans="1:30" x14ac:dyDescent="0.3">
      <c r="A173" s="19"/>
      <c r="B173" s="16"/>
      <c r="C173" s="16"/>
      <c r="D173" s="16"/>
      <c r="E173" s="18"/>
      <c r="F173" s="18"/>
      <c r="G173" s="15" t="str">
        <f t="shared" si="14"/>
        <v/>
      </c>
      <c r="H173" s="16"/>
      <c r="I173" s="17" t="str">
        <f>IF(H173&lt;&gt;"",H173,IF(G173="","",ROUND(G173*IFERROR(INDEX(Reference!$B$44:$B$50,MATCH(C173,Reference!$A$44:$A$50,0)),0),0)))</f>
        <v/>
      </c>
      <c r="J173" s="16"/>
      <c r="K173" s="16"/>
      <c r="L173" s="17" t="str">
        <f t="shared" si="15"/>
        <v/>
      </c>
      <c r="M173" s="17" t="str">
        <f>IFERROR(INDEX(Roster!$D$5:$D$40,MATCH(B173,Roster!$A$5:$A$40,0)),"")</f>
        <v/>
      </c>
      <c r="N173" s="17" t="str">
        <f t="shared" si="16"/>
        <v/>
      </c>
      <c r="O173" s="17" t="str">
        <f>IF(OR(C173="Bullpen",C173="Game"),IFERROR(INDEX(Reference!$B$61:$B$62,MATCH(C173,Reference!$A$61:$A$62,0)),""),IF(D173="","",VLOOKUP(D173,Reference!$A$6:$B$11,2,TRUE())))</f>
        <v/>
      </c>
      <c r="P173" s="17" t="str">
        <f>IF(N173="","",VLOOKUP(MAX(N173,0),Reference!$A$17:$B$20,2,TRUE()))</f>
        <v/>
      </c>
      <c r="Q173" s="17" t="str">
        <f>IF(AND(OR(I173="",O173="",P173=""),OR(R173="",W173=""),OR(X173="",AC173="")),"",IF(OR(I173="",O173="",P173=""),0,I173*O173*P173)+IF(OR(R173="",W173=""),0,R173*IFERROR(INDEX(Reference!$B$61:$B$62,MATCH("Bullpen",Reference!$A$61:$A$62,0)),0)*W173)+IF(OR(X173="",AC173=""),0,X173*VLOOKUP(60,Reference!$A$6:$B$11,2,TRUE())*AC173))</f>
        <v/>
      </c>
      <c r="R173" s="16"/>
      <c r="S173" s="16"/>
      <c r="T173" s="16"/>
      <c r="U173" s="17" t="str">
        <f t="shared" si="17"/>
        <v/>
      </c>
      <c r="V173" s="17" t="str">
        <f t="shared" si="18"/>
        <v/>
      </c>
      <c r="W173" s="17" t="str">
        <f>IF(V173="","",VLOOKUP(MAX(V173,0),Reference!$A$17:$B$20,2,TRUE()))</f>
        <v/>
      </c>
      <c r="X173" s="16"/>
      <c r="Y173" s="16"/>
      <c r="Z173" s="16"/>
      <c r="AA173" s="17" t="str">
        <f t="shared" si="19"/>
        <v/>
      </c>
      <c r="AB173" s="17" t="str">
        <f t="shared" si="20"/>
        <v/>
      </c>
      <c r="AC173" s="17" t="str">
        <f>IF(AB173="","",VLOOKUP(MAX(AB173,0),Reference!$A$17:$B$20,2,TRUE()))</f>
        <v/>
      </c>
      <c r="AD173" s="16"/>
    </row>
    <row r="174" spans="1:30" x14ac:dyDescent="0.3">
      <c r="A174" s="19"/>
      <c r="B174" s="16"/>
      <c r="C174" s="16"/>
      <c r="D174" s="16"/>
      <c r="E174" s="18"/>
      <c r="F174" s="18"/>
      <c r="G174" s="15" t="str">
        <f t="shared" si="14"/>
        <v/>
      </c>
      <c r="H174" s="16"/>
      <c r="I174" s="17" t="str">
        <f>IF(H174&lt;&gt;"",H174,IF(G174="","",ROUND(G174*IFERROR(INDEX(Reference!$B$44:$B$50,MATCH(C174,Reference!$A$44:$A$50,0)),0),0)))</f>
        <v/>
      </c>
      <c r="J174" s="16"/>
      <c r="K174" s="16"/>
      <c r="L174" s="17" t="str">
        <f t="shared" si="15"/>
        <v/>
      </c>
      <c r="M174" s="17" t="str">
        <f>IFERROR(INDEX(Roster!$D$5:$D$40,MATCH(B174,Roster!$A$5:$A$40,0)),"")</f>
        <v/>
      </c>
      <c r="N174" s="17" t="str">
        <f t="shared" si="16"/>
        <v/>
      </c>
      <c r="O174" s="17" t="str">
        <f>IF(OR(C174="Bullpen",C174="Game"),IFERROR(INDEX(Reference!$B$61:$B$62,MATCH(C174,Reference!$A$61:$A$62,0)),""),IF(D174="","",VLOOKUP(D174,Reference!$A$6:$B$11,2,TRUE())))</f>
        <v/>
      </c>
      <c r="P174" s="17" t="str">
        <f>IF(N174="","",VLOOKUP(MAX(N174,0),Reference!$A$17:$B$20,2,TRUE()))</f>
        <v/>
      </c>
      <c r="Q174" s="17" t="str">
        <f>IF(AND(OR(I174="",O174="",P174=""),OR(R174="",W174=""),OR(X174="",AC174="")),"",IF(OR(I174="",O174="",P174=""),0,I174*O174*P174)+IF(OR(R174="",W174=""),0,R174*IFERROR(INDEX(Reference!$B$61:$B$62,MATCH("Bullpen",Reference!$A$61:$A$62,0)),0)*W174)+IF(OR(X174="",AC174=""),0,X174*VLOOKUP(60,Reference!$A$6:$B$11,2,TRUE())*AC174))</f>
        <v/>
      </c>
      <c r="R174" s="16"/>
      <c r="S174" s="16"/>
      <c r="T174" s="16"/>
      <c r="U174" s="17" t="str">
        <f t="shared" si="17"/>
        <v/>
      </c>
      <c r="V174" s="17" t="str">
        <f t="shared" si="18"/>
        <v/>
      </c>
      <c r="W174" s="17" t="str">
        <f>IF(V174="","",VLOOKUP(MAX(V174,0),Reference!$A$17:$B$20,2,TRUE()))</f>
        <v/>
      </c>
      <c r="X174" s="16"/>
      <c r="Y174" s="16"/>
      <c r="Z174" s="16"/>
      <c r="AA174" s="17" t="str">
        <f t="shared" si="19"/>
        <v/>
      </c>
      <c r="AB174" s="17" t="str">
        <f t="shared" si="20"/>
        <v/>
      </c>
      <c r="AC174" s="17" t="str">
        <f>IF(AB174="","",VLOOKUP(MAX(AB174,0),Reference!$A$17:$B$20,2,TRUE()))</f>
        <v/>
      </c>
      <c r="AD174" s="16"/>
    </row>
    <row r="175" spans="1:30" x14ac:dyDescent="0.3">
      <c r="A175" s="19"/>
      <c r="B175" s="16"/>
      <c r="C175" s="16"/>
      <c r="D175" s="16"/>
      <c r="E175" s="18"/>
      <c r="F175" s="18"/>
      <c r="G175" s="15" t="str">
        <f t="shared" si="14"/>
        <v/>
      </c>
      <c r="H175" s="16"/>
      <c r="I175" s="17" t="str">
        <f>IF(H175&lt;&gt;"",H175,IF(G175="","",ROUND(G175*IFERROR(INDEX(Reference!$B$44:$B$50,MATCH(C175,Reference!$A$44:$A$50,0)),0),0)))</f>
        <v/>
      </c>
      <c r="J175" s="16"/>
      <c r="K175" s="16"/>
      <c r="L175" s="17" t="str">
        <f t="shared" si="15"/>
        <v/>
      </c>
      <c r="M175" s="17" t="str">
        <f>IFERROR(INDEX(Roster!$D$5:$D$40,MATCH(B175,Roster!$A$5:$A$40,0)),"")</f>
        <v/>
      </c>
      <c r="N175" s="17" t="str">
        <f t="shared" si="16"/>
        <v/>
      </c>
      <c r="O175" s="17" t="str">
        <f>IF(OR(C175="Bullpen",C175="Game"),IFERROR(INDEX(Reference!$B$61:$B$62,MATCH(C175,Reference!$A$61:$A$62,0)),""),IF(D175="","",VLOOKUP(D175,Reference!$A$6:$B$11,2,TRUE())))</f>
        <v/>
      </c>
      <c r="P175" s="17" t="str">
        <f>IF(N175="","",VLOOKUP(MAX(N175,0),Reference!$A$17:$B$20,2,TRUE()))</f>
        <v/>
      </c>
      <c r="Q175" s="17" t="str">
        <f>IF(AND(OR(I175="",O175="",P175=""),OR(R175="",W175=""),OR(X175="",AC175="")),"",IF(OR(I175="",O175="",P175=""),0,I175*O175*P175)+IF(OR(R175="",W175=""),0,R175*IFERROR(INDEX(Reference!$B$61:$B$62,MATCH("Bullpen",Reference!$A$61:$A$62,0)),0)*W175)+IF(OR(X175="",AC175=""),0,X175*VLOOKUP(60,Reference!$A$6:$B$11,2,TRUE())*AC175))</f>
        <v/>
      </c>
      <c r="R175" s="16"/>
      <c r="S175" s="16"/>
      <c r="T175" s="16"/>
      <c r="U175" s="17" t="str">
        <f t="shared" si="17"/>
        <v/>
      </c>
      <c r="V175" s="17" t="str">
        <f t="shared" si="18"/>
        <v/>
      </c>
      <c r="W175" s="17" t="str">
        <f>IF(V175="","",VLOOKUP(MAX(V175,0),Reference!$A$17:$B$20,2,TRUE()))</f>
        <v/>
      </c>
      <c r="X175" s="16"/>
      <c r="Y175" s="16"/>
      <c r="Z175" s="16"/>
      <c r="AA175" s="17" t="str">
        <f t="shared" si="19"/>
        <v/>
      </c>
      <c r="AB175" s="17" t="str">
        <f t="shared" si="20"/>
        <v/>
      </c>
      <c r="AC175" s="17" t="str">
        <f>IF(AB175="","",VLOOKUP(MAX(AB175,0),Reference!$A$17:$B$20,2,TRUE()))</f>
        <v/>
      </c>
      <c r="AD175" s="16"/>
    </row>
    <row r="176" spans="1:30" x14ac:dyDescent="0.3">
      <c r="A176" s="19"/>
      <c r="B176" s="16"/>
      <c r="C176" s="16"/>
      <c r="D176" s="16"/>
      <c r="E176" s="18"/>
      <c r="F176" s="18"/>
      <c r="G176" s="15" t="str">
        <f t="shared" si="14"/>
        <v/>
      </c>
      <c r="H176" s="16"/>
      <c r="I176" s="17" t="str">
        <f>IF(H176&lt;&gt;"",H176,IF(G176="","",ROUND(G176*IFERROR(INDEX(Reference!$B$44:$B$50,MATCH(C176,Reference!$A$44:$A$50,0)),0),0)))</f>
        <v/>
      </c>
      <c r="J176" s="16"/>
      <c r="K176" s="16"/>
      <c r="L176" s="17" t="str">
        <f t="shared" si="15"/>
        <v/>
      </c>
      <c r="M176" s="17" t="str">
        <f>IFERROR(INDEX(Roster!$D$5:$D$40,MATCH(B176,Roster!$A$5:$A$40,0)),"")</f>
        <v/>
      </c>
      <c r="N176" s="17" t="str">
        <f t="shared" si="16"/>
        <v/>
      </c>
      <c r="O176" s="17" t="str">
        <f>IF(OR(C176="Bullpen",C176="Game"),IFERROR(INDEX(Reference!$B$61:$B$62,MATCH(C176,Reference!$A$61:$A$62,0)),""),IF(D176="","",VLOOKUP(D176,Reference!$A$6:$B$11,2,TRUE())))</f>
        <v/>
      </c>
      <c r="P176" s="17" t="str">
        <f>IF(N176="","",VLOOKUP(MAX(N176,0),Reference!$A$17:$B$20,2,TRUE()))</f>
        <v/>
      </c>
      <c r="Q176" s="17" t="str">
        <f>IF(AND(OR(I176="",O176="",P176=""),OR(R176="",W176=""),OR(X176="",AC176="")),"",IF(OR(I176="",O176="",P176=""),0,I176*O176*P176)+IF(OR(R176="",W176=""),0,R176*IFERROR(INDEX(Reference!$B$61:$B$62,MATCH("Bullpen",Reference!$A$61:$A$62,0)),0)*W176)+IF(OR(X176="",AC176=""),0,X176*VLOOKUP(60,Reference!$A$6:$B$11,2,TRUE())*AC176))</f>
        <v/>
      </c>
      <c r="R176" s="16"/>
      <c r="S176" s="16"/>
      <c r="T176" s="16"/>
      <c r="U176" s="17" t="str">
        <f t="shared" si="17"/>
        <v/>
      </c>
      <c r="V176" s="17" t="str">
        <f t="shared" si="18"/>
        <v/>
      </c>
      <c r="W176" s="17" t="str">
        <f>IF(V176="","",VLOOKUP(MAX(V176,0),Reference!$A$17:$B$20,2,TRUE()))</f>
        <v/>
      </c>
      <c r="X176" s="16"/>
      <c r="Y176" s="16"/>
      <c r="Z176" s="16"/>
      <c r="AA176" s="17" t="str">
        <f t="shared" si="19"/>
        <v/>
      </c>
      <c r="AB176" s="17" t="str">
        <f t="shared" si="20"/>
        <v/>
      </c>
      <c r="AC176" s="17" t="str">
        <f>IF(AB176="","",VLOOKUP(MAX(AB176,0),Reference!$A$17:$B$20,2,TRUE()))</f>
        <v/>
      </c>
      <c r="AD176" s="16"/>
    </row>
    <row r="177" spans="1:30" x14ac:dyDescent="0.3">
      <c r="A177" s="19"/>
      <c r="B177" s="16"/>
      <c r="C177" s="16"/>
      <c r="D177" s="16"/>
      <c r="E177" s="18"/>
      <c r="F177" s="18"/>
      <c r="G177" s="15" t="str">
        <f t="shared" si="14"/>
        <v/>
      </c>
      <c r="H177" s="16"/>
      <c r="I177" s="17" t="str">
        <f>IF(H177&lt;&gt;"",H177,IF(G177="","",ROUND(G177*IFERROR(INDEX(Reference!$B$44:$B$50,MATCH(C177,Reference!$A$44:$A$50,0)),0),0)))</f>
        <v/>
      </c>
      <c r="J177" s="16"/>
      <c r="K177" s="16"/>
      <c r="L177" s="17" t="str">
        <f t="shared" si="15"/>
        <v/>
      </c>
      <c r="M177" s="17" t="str">
        <f>IFERROR(INDEX(Roster!$D$5:$D$40,MATCH(B177,Roster!$A$5:$A$40,0)),"")</f>
        <v/>
      </c>
      <c r="N177" s="17" t="str">
        <f t="shared" si="16"/>
        <v/>
      </c>
      <c r="O177" s="17" t="str">
        <f>IF(OR(C177="Bullpen",C177="Game"),IFERROR(INDEX(Reference!$B$61:$B$62,MATCH(C177,Reference!$A$61:$A$62,0)),""),IF(D177="","",VLOOKUP(D177,Reference!$A$6:$B$11,2,TRUE())))</f>
        <v/>
      </c>
      <c r="P177" s="17" t="str">
        <f>IF(N177="","",VLOOKUP(MAX(N177,0),Reference!$A$17:$B$20,2,TRUE()))</f>
        <v/>
      </c>
      <c r="Q177" s="17" t="str">
        <f>IF(AND(OR(I177="",O177="",P177=""),OR(R177="",W177=""),OR(X177="",AC177="")),"",IF(OR(I177="",O177="",P177=""),0,I177*O177*P177)+IF(OR(R177="",W177=""),0,R177*IFERROR(INDEX(Reference!$B$61:$B$62,MATCH("Bullpen",Reference!$A$61:$A$62,0)),0)*W177)+IF(OR(X177="",AC177=""),0,X177*VLOOKUP(60,Reference!$A$6:$B$11,2,TRUE())*AC177))</f>
        <v/>
      </c>
      <c r="R177" s="16"/>
      <c r="S177" s="16"/>
      <c r="T177" s="16"/>
      <c r="U177" s="17" t="str">
        <f t="shared" si="17"/>
        <v/>
      </c>
      <c r="V177" s="17" t="str">
        <f t="shared" si="18"/>
        <v/>
      </c>
      <c r="W177" s="17" t="str">
        <f>IF(V177="","",VLOOKUP(MAX(V177,0),Reference!$A$17:$B$20,2,TRUE()))</f>
        <v/>
      </c>
      <c r="X177" s="16"/>
      <c r="Y177" s="16"/>
      <c r="Z177" s="16"/>
      <c r="AA177" s="17" t="str">
        <f t="shared" si="19"/>
        <v/>
      </c>
      <c r="AB177" s="17" t="str">
        <f t="shared" si="20"/>
        <v/>
      </c>
      <c r="AC177" s="17" t="str">
        <f>IF(AB177="","",VLOOKUP(MAX(AB177,0),Reference!$A$17:$B$20,2,TRUE()))</f>
        <v/>
      </c>
      <c r="AD177" s="16"/>
    </row>
    <row r="178" spans="1:30" x14ac:dyDescent="0.3">
      <c r="A178" s="19"/>
      <c r="B178" s="16"/>
      <c r="C178" s="16"/>
      <c r="D178" s="16"/>
      <c r="E178" s="18"/>
      <c r="F178" s="18"/>
      <c r="G178" s="15" t="str">
        <f t="shared" si="14"/>
        <v/>
      </c>
      <c r="H178" s="16"/>
      <c r="I178" s="17" t="str">
        <f>IF(H178&lt;&gt;"",H178,IF(G178="","",ROUND(G178*IFERROR(INDEX(Reference!$B$44:$B$50,MATCH(C178,Reference!$A$44:$A$50,0)),0),0)))</f>
        <v/>
      </c>
      <c r="J178" s="16"/>
      <c r="K178" s="16"/>
      <c r="L178" s="17" t="str">
        <f t="shared" si="15"/>
        <v/>
      </c>
      <c r="M178" s="17" t="str">
        <f>IFERROR(INDEX(Roster!$D$5:$D$40,MATCH(B178,Roster!$A$5:$A$40,0)),"")</f>
        <v/>
      </c>
      <c r="N178" s="17" t="str">
        <f t="shared" si="16"/>
        <v/>
      </c>
      <c r="O178" s="17" t="str">
        <f>IF(OR(C178="Bullpen",C178="Game"),IFERROR(INDEX(Reference!$B$61:$B$62,MATCH(C178,Reference!$A$61:$A$62,0)),""),IF(D178="","",VLOOKUP(D178,Reference!$A$6:$B$11,2,TRUE())))</f>
        <v/>
      </c>
      <c r="P178" s="17" t="str">
        <f>IF(N178="","",VLOOKUP(MAX(N178,0),Reference!$A$17:$B$20,2,TRUE()))</f>
        <v/>
      </c>
      <c r="Q178" s="17" t="str">
        <f>IF(AND(OR(I178="",O178="",P178=""),OR(R178="",W178=""),OR(X178="",AC178="")),"",IF(OR(I178="",O178="",P178=""),0,I178*O178*P178)+IF(OR(R178="",W178=""),0,R178*IFERROR(INDEX(Reference!$B$61:$B$62,MATCH("Bullpen",Reference!$A$61:$A$62,0)),0)*W178)+IF(OR(X178="",AC178=""),0,X178*VLOOKUP(60,Reference!$A$6:$B$11,2,TRUE())*AC178))</f>
        <v/>
      </c>
      <c r="R178" s="16"/>
      <c r="S178" s="16"/>
      <c r="T178" s="16"/>
      <c r="U178" s="17" t="str">
        <f t="shared" si="17"/>
        <v/>
      </c>
      <c r="V178" s="17" t="str">
        <f t="shared" si="18"/>
        <v/>
      </c>
      <c r="W178" s="17" t="str">
        <f>IF(V178="","",VLOOKUP(MAX(V178,0),Reference!$A$17:$B$20,2,TRUE()))</f>
        <v/>
      </c>
      <c r="X178" s="16"/>
      <c r="Y178" s="16"/>
      <c r="Z178" s="16"/>
      <c r="AA178" s="17" t="str">
        <f t="shared" si="19"/>
        <v/>
      </c>
      <c r="AB178" s="17" t="str">
        <f t="shared" si="20"/>
        <v/>
      </c>
      <c r="AC178" s="17" t="str">
        <f>IF(AB178="","",VLOOKUP(MAX(AB178,0),Reference!$A$17:$B$20,2,TRUE()))</f>
        <v/>
      </c>
      <c r="AD178" s="16"/>
    </row>
    <row r="179" spans="1:30" x14ac:dyDescent="0.3">
      <c r="A179" s="19"/>
      <c r="B179" s="16"/>
      <c r="C179" s="16"/>
      <c r="D179" s="16"/>
      <c r="E179" s="18"/>
      <c r="F179" s="18"/>
      <c r="G179" s="15" t="str">
        <f t="shared" si="14"/>
        <v/>
      </c>
      <c r="H179" s="16"/>
      <c r="I179" s="17" t="str">
        <f>IF(H179&lt;&gt;"",H179,IF(G179="","",ROUND(G179*IFERROR(INDEX(Reference!$B$44:$B$50,MATCH(C179,Reference!$A$44:$A$50,0)),0),0)))</f>
        <v/>
      </c>
      <c r="J179" s="16"/>
      <c r="K179" s="16"/>
      <c r="L179" s="17" t="str">
        <f t="shared" si="15"/>
        <v/>
      </c>
      <c r="M179" s="17" t="str">
        <f>IFERROR(INDEX(Roster!$D$5:$D$40,MATCH(B179,Roster!$A$5:$A$40,0)),"")</f>
        <v/>
      </c>
      <c r="N179" s="17" t="str">
        <f t="shared" si="16"/>
        <v/>
      </c>
      <c r="O179" s="17" t="str">
        <f>IF(OR(C179="Bullpen",C179="Game"),IFERROR(INDEX(Reference!$B$61:$B$62,MATCH(C179,Reference!$A$61:$A$62,0)),""),IF(D179="","",VLOOKUP(D179,Reference!$A$6:$B$11,2,TRUE())))</f>
        <v/>
      </c>
      <c r="P179" s="17" t="str">
        <f>IF(N179="","",VLOOKUP(MAX(N179,0),Reference!$A$17:$B$20,2,TRUE()))</f>
        <v/>
      </c>
      <c r="Q179" s="17" t="str">
        <f>IF(AND(OR(I179="",O179="",P179=""),OR(R179="",W179=""),OR(X179="",AC179="")),"",IF(OR(I179="",O179="",P179=""),0,I179*O179*P179)+IF(OR(R179="",W179=""),0,R179*IFERROR(INDEX(Reference!$B$61:$B$62,MATCH("Bullpen",Reference!$A$61:$A$62,0)),0)*W179)+IF(OR(X179="",AC179=""),0,X179*VLOOKUP(60,Reference!$A$6:$B$11,2,TRUE())*AC179))</f>
        <v/>
      </c>
      <c r="R179" s="16"/>
      <c r="S179" s="16"/>
      <c r="T179" s="16"/>
      <c r="U179" s="17" t="str">
        <f t="shared" si="17"/>
        <v/>
      </c>
      <c r="V179" s="17" t="str">
        <f t="shared" si="18"/>
        <v/>
      </c>
      <c r="W179" s="17" t="str">
        <f>IF(V179="","",VLOOKUP(MAX(V179,0),Reference!$A$17:$B$20,2,TRUE()))</f>
        <v/>
      </c>
      <c r="X179" s="16"/>
      <c r="Y179" s="16"/>
      <c r="Z179" s="16"/>
      <c r="AA179" s="17" t="str">
        <f t="shared" si="19"/>
        <v/>
      </c>
      <c r="AB179" s="17" t="str">
        <f t="shared" si="20"/>
        <v/>
      </c>
      <c r="AC179" s="17" t="str">
        <f>IF(AB179="","",VLOOKUP(MAX(AB179,0),Reference!$A$17:$B$20,2,TRUE()))</f>
        <v/>
      </c>
      <c r="AD179" s="16"/>
    </row>
    <row r="180" spans="1:30" x14ac:dyDescent="0.3">
      <c r="A180" s="19"/>
      <c r="B180" s="16"/>
      <c r="C180" s="16"/>
      <c r="D180" s="16"/>
      <c r="E180" s="18"/>
      <c r="F180" s="18"/>
      <c r="G180" s="15" t="str">
        <f t="shared" si="14"/>
        <v/>
      </c>
      <c r="H180" s="16"/>
      <c r="I180" s="17" t="str">
        <f>IF(H180&lt;&gt;"",H180,IF(G180="","",ROUND(G180*IFERROR(INDEX(Reference!$B$44:$B$50,MATCH(C180,Reference!$A$44:$A$50,0)),0),0)))</f>
        <v/>
      </c>
      <c r="J180" s="16"/>
      <c r="K180" s="16"/>
      <c r="L180" s="17" t="str">
        <f t="shared" si="15"/>
        <v/>
      </c>
      <c r="M180" s="17" t="str">
        <f>IFERROR(INDEX(Roster!$D$5:$D$40,MATCH(B180,Roster!$A$5:$A$40,0)),"")</f>
        <v/>
      </c>
      <c r="N180" s="17" t="str">
        <f t="shared" si="16"/>
        <v/>
      </c>
      <c r="O180" s="17" t="str">
        <f>IF(OR(C180="Bullpen",C180="Game"),IFERROR(INDEX(Reference!$B$61:$B$62,MATCH(C180,Reference!$A$61:$A$62,0)),""),IF(D180="","",VLOOKUP(D180,Reference!$A$6:$B$11,2,TRUE())))</f>
        <v/>
      </c>
      <c r="P180" s="17" t="str">
        <f>IF(N180="","",VLOOKUP(MAX(N180,0),Reference!$A$17:$B$20,2,TRUE()))</f>
        <v/>
      </c>
      <c r="Q180" s="17" t="str">
        <f>IF(AND(OR(I180="",O180="",P180=""),OR(R180="",W180=""),OR(X180="",AC180="")),"",IF(OR(I180="",O180="",P180=""),0,I180*O180*P180)+IF(OR(R180="",W180=""),0,R180*IFERROR(INDEX(Reference!$B$61:$B$62,MATCH("Bullpen",Reference!$A$61:$A$62,0)),0)*W180)+IF(OR(X180="",AC180=""),0,X180*VLOOKUP(60,Reference!$A$6:$B$11,2,TRUE())*AC180))</f>
        <v/>
      </c>
      <c r="R180" s="16"/>
      <c r="S180" s="16"/>
      <c r="T180" s="16"/>
      <c r="U180" s="17" t="str">
        <f t="shared" si="17"/>
        <v/>
      </c>
      <c r="V180" s="17" t="str">
        <f t="shared" si="18"/>
        <v/>
      </c>
      <c r="W180" s="17" t="str">
        <f>IF(V180="","",VLOOKUP(MAX(V180,0),Reference!$A$17:$B$20,2,TRUE()))</f>
        <v/>
      </c>
      <c r="X180" s="16"/>
      <c r="Y180" s="16"/>
      <c r="Z180" s="16"/>
      <c r="AA180" s="17" t="str">
        <f t="shared" si="19"/>
        <v/>
      </c>
      <c r="AB180" s="17" t="str">
        <f t="shared" si="20"/>
        <v/>
      </c>
      <c r="AC180" s="17" t="str">
        <f>IF(AB180="","",VLOOKUP(MAX(AB180,0),Reference!$A$17:$B$20,2,TRUE()))</f>
        <v/>
      </c>
      <c r="AD180" s="16"/>
    </row>
    <row r="181" spans="1:30" x14ac:dyDescent="0.3">
      <c r="A181" s="19"/>
      <c r="B181" s="16"/>
      <c r="C181" s="16"/>
      <c r="D181" s="16"/>
      <c r="E181" s="18"/>
      <c r="F181" s="18"/>
      <c r="G181" s="15" t="str">
        <f t="shared" si="14"/>
        <v/>
      </c>
      <c r="H181" s="16"/>
      <c r="I181" s="17" t="str">
        <f>IF(H181&lt;&gt;"",H181,IF(G181="","",ROUND(G181*IFERROR(INDEX(Reference!$B$44:$B$50,MATCH(C181,Reference!$A$44:$A$50,0)),0),0)))</f>
        <v/>
      </c>
      <c r="J181" s="16"/>
      <c r="K181" s="16"/>
      <c r="L181" s="17" t="str">
        <f t="shared" si="15"/>
        <v/>
      </c>
      <c r="M181" s="17" t="str">
        <f>IFERROR(INDEX(Roster!$D$5:$D$40,MATCH(B181,Roster!$A$5:$A$40,0)),"")</f>
        <v/>
      </c>
      <c r="N181" s="17" t="str">
        <f t="shared" si="16"/>
        <v/>
      </c>
      <c r="O181" s="17" t="str">
        <f>IF(OR(C181="Bullpen",C181="Game"),IFERROR(INDEX(Reference!$B$61:$B$62,MATCH(C181,Reference!$A$61:$A$62,0)),""),IF(D181="","",VLOOKUP(D181,Reference!$A$6:$B$11,2,TRUE())))</f>
        <v/>
      </c>
      <c r="P181" s="17" t="str">
        <f>IF(N181="","",VLOOKUP(MAX(N181,0),Reference!$A$17:$B$20,2,TRUE()))</f>
        <v/>
      </c>
      <c r="Q181" s="17" t="str">
        <f>IF(AND(OR(I181="",O181="",P181=""),OR(R181="",W181=""),OR(X181="",AC181="")),"",IF(OR(I181="",O181="",P181=""),0,I181*O181*P181)+IF(OR(R181="",W181=""),0,R181*IFERROR(INDEX(Reference!$B$61:$B$62,MATCH("Bullpen",Reference!$A$61:$A$62,0)),0)*W181)+IF(OR(X181="",AC181=""),0,X181*VLOOKUP(60,Reference!$A$6:$B$11,2,TRUE())*AC181))</f>
        <v/>
      </c>
      <c r="R181" s="16"/>
      <c r="S181" s="16"/>
      <c r="T181" s="16"/>
      <c r="U181" s="17" t="str">
        <f t="shared" si="17"/>
        <v/>
      </c>
      <c r="V181" s="17" t="str">
        <f t="shared" si="18"/>
        <v/>
      </c>
      <c r="W181" s="17" t="str">
        <f>IF(V181="","",VLOOKUP(MAX(V181,0),Reference!$A$17:$B$20,2,TRUE()))</f>
        <v/>
      </c>
      <c r="X181" s="16"/>
      <c r="Y181" s="16"/>
      <c r="Z181" s="16"/>
      <c r="AA181" s="17" t="str">
        <f t="shared" si="19"/>
        <v/>
      </c>
      <c r="AB181" s="17" t="str">
        <f t="shared" si="20"/>
        <v/>
      </c>
      <c r="AC181" s="17" t="str">
        <f>IF(AB181="","",VLOOKUP(MAX(AB181,0),Reference!$A$17:$B$20,2,TRUE()))</f>
        <v/>
      </c>
      <c r="AD181" s="16"/>
    </row>
    <row r="182" spans="1:30" x14ac:dyDescent="0.3">
      <c r="A182" s="19"/>
      <c r="B182" s="16"/>
      <c r="C182" s="16"/>
      <c r="D182" s="16"/>
      <c r="E182" s="18"/>
      <c r="F182" s="18"/>
      <c r="G182" s="15" t="str">
        <f t="shared" si="14"/>
        <v/>
      </c>
      <c r="H182" s="16"/>
      <c r="I182" s="17" t="str">
        <f>IF(H182&lt;&gt;"",H182,IF(G182="","",ROUND(G182*IFERROR(INDEX(Reference!$B$44:$B$50,MATCH(C182,Reference!$A$44:$A$50,0)),0),0)))</f>
        <v/>
      </c>
      <c r="J182" s="16"/>
      <c r="K182" s="16"/>
      <c r="L182" s="17" t="str">
        <f t="shared" si="15"/>
        <v/>
      </c>
      <c r="M182" s="17" t="str">
        <f>IFERROR(INDEX(Roster!$D$5:$D$40,MATCH(B182,Roster!$A$5:$A$40,0)),"")</f>
        <v/>
      </c>
      <c r="N182" s="17" t="str">
        <f t="shared" si="16"/>
        <v/>
      </c>
      <c r="O182" s="17" t="str">
        <f>IF(OR(C182="Bullpen",C182="Game"),IFERROR(INDEX(Reference!$B$61:$B$62,MATCH(C182,Reference!$A$61:$A$62,0)),""),IF(D182="","",VLOOKUP(D182,Reference!$A$6:$B$11,2,TRUE())))</f>
        <v/>
      </c>
      <c r="P182" s="17" t="str">
        <f>IF(N182="","",VLOOKUP(MAX(N182,0),Reference!$A$17:$B$20,2,TRUE()))</f>
        <v/>
      </c>
      <c r="Q182" s="17" t="str">
        <f>IF(AND(OR(I182="",O182="",P182=""),OR(R182="",W182=""),OR(X182="",AC182="")),"",IF(OR(I182="",O182="",P182=""),0,I182*O182*P182)+IF(OR(R182="",W182=""),0,R182*IFERROR(INDEX(Reference!$B$61:$B$62,MATCH("Bullpen",Reference!$A$61:$A$62,0)),0)*W182)+IF(OR(X182="",AC182=""),0,X182*VLOOKUP(60,Reference!$A$6:$B$11,2,TRUE())*AC182))</f>
        <v/>
      </c>
      <c r="R182" s="16"/>
      <c r="S182" s="16"/>
      <c r="T182" s="16"/>
      <c r="U182" s="17" t="str">
        <f t="shared" si="17"/>
        <v/>
      </c>
      <c r="V182" s="17" t="str">
        <f t="shared" si="18"/>
        <v/>
      </c>
      <c r="W182" s="17" t="str">
        <f>IF(V182="","",VLOOKUP(MAX(V182,0),Reference!$A$17:$B$20,2,TRUE()))</f>
        <v/>
      </c>
      <c r="X182" s="16"/>
      <c r="Y182" s="16"/>
      <c r="Z182" s="16"/>
      <c r="AA182" s="17" t="str">
        <f t="shared" si="19"/>
        <v/>
      </c>
      <c r="AB182" s="17" t="str">
        <f t="shared" si="20"/>
        <v/>
      </c>
      <c r="AC182" s="17" t="str">
        <f>IF(AB182="","",VLOOKUP(MAX(AB182,0),Reference!$A$17:$B$20,2,TRUE()))</f>
        <v/>
      </c>
      <c r="AD182" s="16"/>
    </row>
    <row r="183" spans="1:30" x14ac:dyDescent="0.3">
      <c r="A183" s="19"/>
      <c r="B183" s="16"/>
      <c r="C183" s="16"/>
      <c r="D183" s="16"/>
      <c r="E183" s="18"/>
      <c r="F183" s="18"/>
      <c r="G183" s="15" t="str">
        <f t="shared" si="14"/>
        <v/>
      </c>
      <c r="H183" s="16"/>
      <c r="I183" s="17" t="str">
        <f>IF(H183&lt;&gt;"",H183,IF(G183="","",ROUND(G183*IFERROR(INDEX(Reference!$B$44:$B$50,MATCH(C183,Reference!$A$44:$A$50,0)),0),0)))</f>
        <v/>
      </c>
      <c r="J183" s="16"/>
      <c r="K183" s="16"/>
      <c r="L183" s="17" t="str">
        <f t="shared" si="15"/>
        <v/>
      </c>
      <c r="M183" s="17" t="str">
        <f>IFERROR(INDEX(Roster!$D$5:$D$40,MATCH(B183,Roster!$A$5:$A$40,0)),"")</f>
        <v/>
      </c>
      <c r="N183" s="17" t="str">
        <f t="shared" si="16"/>
        <v/>
      </c>
      <c r="O183" s="17" t="str">
        <f>IF(OR(C183="Bullpen",C183="Game"),IFERROR(INDEX(Reference!$B$61:$B$62,MATCH(C183,Reference!$A$61:$A$62,0)),""),IF(D183="","",VLOOKUP(D183,Reference!$A$6:$B$11,2,TRUE())))</f>
        <v/>
      </c>
      <c r="P183" s="17" t="str">
        <f>IF(N183="","",VLOOKUP(MAX(N183,0),Reference!$A$17:$B$20,2,TRUE()))</f>
        <v/>
      </c>
      <c r="Q183" s="17" t="str">
        <f>IF(AND(OR(I183="",O183="",P183=""),OR(R183="",W183=""),OR(X183="",AC183="")),"",IF(OR(I183="",O183="",P183=""),0,I183*O183*P183)+IF(OR(R183="",W183=""),0,R183*IFERROR(INDEX(Reference!$B$61:$B$62,MATCH("Bullpen",Reference!$A$61:$A$62,0)),0)*W183)+IF(OR(X183="",AC183=""),0,X183*VLOOKUP(60,Reference!$A$6:$B$11,2,TRUE())*AC183))</f>
        <v/>
      </c>
      <c r="R183" s="16"/>
      <c r="S183" s="16"/>
      <c r="T183" s="16"/>
      <c r="U183" s="17" t="str">
        <f t="shared" si="17"/>
        <v/>
      </c>
      <c r="V183" s="17" t="str">
        <f t="shared" si="18"/>
        <v/>
      </c>
      <c r="W183" s="17" t="str">
        <f>IF(V183="","",VLOOKUP(MAX(V183,0),Reference!$A$17:$B$20,2,TRUE()))</f>
        <v/>
      </c>
      <c r="X183" s="16"/>
      <c r="Y183" s="16"/>
      <c r="Z183" s="16"/>
      <c r="AA183" s="17" t="str">
        <f t="shared" si="19"/>
        <v/>
      </c>
      <c r="AB183" s="17" t="str">
        <f t="shared" si="20"/>
        <v/>
      </c>
      <c r="AC183" s="17" t="str">
        <f>IF(AB183="","",VLOOKUP(MAX(AB183,0),Reference!$A$17:$B$20,2,TRUE()))</f>
        <v/>
      </c>
      <c r="AD183" s="16"/>
    </row>
    <row r="184" spans="1:30" x14ac:dyDescent="0.3">
      <c r="A184" s="19"/>
      <c r="B184" s="16"/>
      <c r="C184" s="16"/>
      <c r="D184" s="16"/>
      <c r="E184" s="18"/>
      <c r="F184" s="18"/>
      <c r="G184" s="15" t="str">
        <f t="shared" si="14"/>
        <v/>
      </c>
      <c r="H184" s="16"/>
      <c r="I184" s="17" t="str">
        <f>IF(H184&lt;&gt;"",H184,IF(G184="","",ROUND(G184*IFERROR(INDEX(Reference!$B$44:$B$50,MATCH(C184,Reference!$A$44:$A$50,0)),0),0)))</f>
        <v/>
      </c>
      <c r="J184" s="16"/>
      <c r="K184" s="16"/>
      <c r="L184" s="17" t="str">
        <f t="shared" si="15"/>
        <v/>
      </c>
      <c r="M184" s="17" t="str">
        <f>IFERROR(INDEX(Roster!$D$5:$D$40,MATCH(B184,Roster!$A$5:$A$40,0)),"")</f>
        <v/>
      </c>
      <c r="N184" s="17" t="str">
        <f t="shared" si="16"/>
        <v/>
      </c>
      <c r="O184" s="17" t="str">
        <f>IF(OR(C184="Bullpen",C184="Game"),IFERROR(INDEX(Reference!$B$61:$B$62,MATCH(C184,Reference!$A$61:$A$62,0)),""),IF(D184="","",VLOOKUP(D184,Reference!$A$6:$B$11,2,TRUE())))</f>
        <v/>
      </c>
      <c r="P184" s="17" t="str">
        <f>IF(N184="","",VLOOKUP(MAX(N184,0),Reference!$A$17:$B$20,2,TRUE()))</f>
        <v/>
      </c>
      <c r="Q184" s="17" t="str">
        <f>IF(AND(OR(I184="",O184="",P184=""),OR(R184="",W184=""),OR(X184="",AC184="")),"",IF(OR(I184="",O184="",P184=""),0,I184*O184*P184)+IF(OR(R184="",W184=""),0,R184*IFERROR(INDEX(Reference!$B$61:$B$62,MATCH("Bullpen",Reference!$A$61:$A$62,0)),0)*W184)+IF(OR(X184="",AC184=""),0,X184*VLOOKUP(60,Reference!$A$6:$B$11,2,TRUE())*AC184))</f>
        <v/>
      </c>
      <c r="R184" s="16"/>
      <c r="S184" s="16"/>
      <c r="T184" s="16"/>
      <c r="U184" s="17" t="str">
        <f t="shared" si="17"/>
        <v/>
      </c>
      <c r="V184" s="17" t="str">
        <f t="shared" si="18"/>
        <v/>
      </c>
      <c r="W184" s="17" t="str">
        <f>IF(V184="","",VLOOKUP(MAX(V184,0),Reference!$A$17:$B$20,2,TRUE()))</f>
        <v/>
      </c>
      <c r="X184" s="16"/>
      <c r="Y184" s="16"/>
      <c r="Z184" s="16"/>
      <c r="AA184" s="17" t="str">
        <f t="shared" si="19"/>
        <v/>
      </c>
      <c r="AB184" s="17" t="str">
        <f t="shared" si="20"/>
        <v/>
      </c>
      <c r="AC184" s="17" t="str">
        <f>IF(AB184="","",VLOOKUP(MAX(AB184,0),Reference!$A$17:$B$20,2,TRUE()))</f>
        <v/>
      </c>
      <c r="AD184" s="16"/>
    </row>
    <row r="185" spans="1:30" x14ac:dyDescent="0.3">
      <c r="A185" s="19"/>
      <c r="B185" s="16"/>
      <c r="C185" s="16"/>
      <c r="D185" s="16"/>
      <c r="E185" s="18"/>
      <c r="F185" s="18"/>
      <c r="G185" s="15" t="str">
        <f t="shared" si="14"/>
        <v/>
      </c>
      <c r="H185" s="16"/>
      <c r="I185" s="17" t="str">
        <f>IF(H185&lt;&gt;"",H185,IF(G185="","",ROUND(G185*IFERROR(INDEX(Reference!$B$44:$B$50,MATCH(C185,Reference!$A$44:$A$50,0)),0),0)))</f>
        <v/>
      </c>
      <c r="J185" s="16"/>
      <c r="K185" s="16"/>
      <c r="L185" s="17" t="str">
        <f t="shared" si="15"/>
        <v/>
      </c>
      <c r="M185" s="17" t="str">
        <f>IFERROR(INDEX(Roster!$D$5:$D$40,MATCH(B185,Roster!$A$5:$A$40,0)),"")</f>
        <v/>
      </c>
      <c r="N185" s="17" t="str">
        <f t="shared" si="16"/>
        <v/>
      </c>
      <c r="O185" s="17" t="str">
        <f>IF(OR(C185="Bullpen",C185="Game"),IFERROR(INDEX(Reference!$B$61:$B$62,MATCH(C185,Reference!$A$61:$A$62,0)),""),IF(D185="","",VLOOKUP(D185,Reference!$A$6:$B$11,2,TRUE())))</f>
        <v/>
      </c>
      <c r="P185" s="17" t="str">
        <f>IF(N185="","",VLOOKUP(MAX(N185,0),Reference!$A$17:$B$20,2,TRUE()))</f>
        <v/>
      </c>
      <c r="Q185" s="17" t="str">
        <f>IF(AND(OR(I185="",O185="",P185=""),OR(R185="",W185=""),OR(X185="",AC185="")),"",IF(OR(I185="",O185="",P185=""),0,I185*O185*P185)+IF(OR(R185="",W185=""),0,R185*IFERROR(INDEX(Reference!$B$61:$B$62,MATCH("Bullpen",Reference!$A$61:$A$62,0)),0)*W185)+IF(OR(X185="",AC185=""),0,X185*VLOOKUP(60,Reference!$A$6:$B$11,2,TRUE())*AC185))</f>
        <v/>
      </c>
      <c r="R185" s="16"/>
      <c r="S185" s="16"/>
      <c r="T185" s="16"/>
      <c r="U185" s="17" t="str">
        <f t="shared" si="17"/>
        <v/>
      </c>
      <c r="V185" s="17" t="str">
        <f t="shared" si="18"/>
        <v/>
      </c>
      <c r="W185" s="17" t="str">
        <f>IF(V185="","",VLOOKUP(MAX(V185,0),Reference!$A$17:$B$20,2,TRUE()))</f>
        <v/>
      </c>
      <c r="X185" s="16"/>
      <c r="Y185" s="16"/>
      <c r="Z185" s="16"/>
      <c r="AA185" s="17" t="str">
        <f t="shared" si="19"/>
        <v/>
      </c>
      <c r="AB185" s="17" t="str">
        <f t="shared" si="20"/>
        <v/>
      </c>
      <c r="AC185" s="17" t="str">
        <f>IF(AB185="","",VLOOKUP(MAX(AB185,0),Reference!$A$17:$B$20,2,TRUE()))</f>
        <v/>
      </c>
      <c r="AD185" s="16"/>
    </row>
    <row r="186" spans="1:30" x14ac:dyDescent="0.3">
      <c r="A186" s="19"/>
      <c r="B186" s="16"/>
      <c r="C186" s="16"/>
      <c r="D186" s="16"/>
      <c r="E186" s="18"/>
      <c r="F186" s="18"/>
      <c r="G186" s="15" t="str">
        <f t="shared" si="14"/>
        <v/>
      </c>
      <c r="H186" s="16"/>
      <c r="I186" s="17" t="str">
        <f>IF(H186&lt;&gt;"",H186,IF(G186="","",ROUND(G186*IFERROR(INDEX(Reference!$B$44:$B$50,MATCH(C186,Reference!$A$44:$A$50,0)),0),0)))</f>
        <v/>
      </c>
      <c r="J186" s="16"/>
      <c r="K186" s="16"/>
      <c r="L186" s="17" t="str">
        <f t="shared" si="15"/>
        <v/>
      </c>
      <c r="M186" s="17" t="str">
        <f>IFERROR(INDEX(Roster!$D$5:$D$40,MATCH(B186,Roster!$A$5:$A$40,0)),"")</f>
        <v/>
      </c>
      <c r="N186" s="17" t="str">
        <f t="shared" si="16"/>
        <v/>
      </c>
      <c r="O186" s="17" t="str">
        <f>IF(OR(C186="Bullpen",C186="Game"),IFERROR(INDEX(Reference!$B$61:$B$62,MATCH(C186,Reference!$A$61:$A$62,0)),""),IF(D186="","",VLOOKUP(D186,Reference!$A$6:$B$11,2,TRUE())))</f>
        <v/>
      </c>
      <c r="P186" s="17" t="str">
        <f>IF(N186="","",VLOOKUP(MAX(N186,0),Reference!$A$17:$B$20,2,TRUE()))</f>
        <v/>
      </c>
      <c r="Q186" s="17" t="str">
        <f>IF(AND(OR(I186="",O186="",P186=""),OR(R186="",W186=""),OR(X186="",AC186="")),"",IF(OR(I186="",O186="",P186=""),0,I186*O186*P186)+IF(OR(R186="",W186=""),0,R186*IFERROR(INDEX(Reference!$B$61:$B$62,MATCH("Bullpen",Reference!$A$61:$A$62,0)),0)*W186)+IF(OR(X186="",AC186=""),0,X186*VLOOKUP(60,Reference!$A$6:$B$11,2,TRUE())*AC186))</f>
        <v/>
      </c>
      <c r="R186" s="16"/>
      <c r="S186" s="16"/>
      <c r="T186" s="16"/>
      <c r="U186" s="17" t="str">
        <f t="shared" si="17"/>
        <v/>
      </c>
      <c r="V186" s="17" t="str">
        <f t="shared" si="18"/>
        <v/>
      </c>
      <c r="W186" s="17" t="str">
        <f>IF(V186="","",VLOOKUP(MAX(V186,0),Reference!$A$17:$B$20,2,TRUE()))</f>
        <v/>
      </c>
      <c r="X186" s="16"/>
      <c r="Y186" s="16"/>
      <c r="Z186" s="16"/>
      <c r="AA186" s="17" t="str">
        <f t="shared" si="19"/>
        <v/>
      </c>
      <c r="AB186" s="17" t="str">
        <f t="shared" si="20"/>
        <v/>
      </c>
      <c r="AC186" s="17" t="str">
        <f>IF(AB186="","",VLOOKUP(MAX(AB186,0),Reference!$A$17:$B$20,2,TRUE()))</f>
        <v/>
      </c>
      <c r="AD186" s="16"/>
    </row>
    <row r="187" spans="1:30" x14ac:dyDescent="0.3">
      <c r="A187" s="19"/>
      <c r="B187" s="16"/>
      <c r="C187" s="16"/>
      <c r="D187" s="16"/>
      <c r="E187" s="18"/>
      <c r="F187" s="18"/>
      <c r="G187" s="15" t="str">
        <f t="shared" si="14"/>
        <v/>
      </c>
      <c r="H187" s="16"/>
      <c r="I187" s="17" t="str">
        <f>IF(H187&lt;&gt;"",H187,IF(G187="","",ROUND(G187*IFERROR(INDEX(Reference!$B$44:$B$50,MATCH(C187,Reference!$A$44:$A$50,0)),0),0)))</f>
        <v/>
      </c>
      <c r="J187" s="16"/>
      <c r="K187" s="16"/>
      <c r="L187" s="17" t="str">
        <f t="shared" si="15"/>
        <v/>
      </c>
      <c r="M187" s="17" t="str">
        <f>IFERROR(INDEX(Roster!$D$5:$D$40,MATCH(B187,Roster!$A$5:$A$40,0)),"")</f>
        <v/>
      </c>
      <c r="N187" s="17" t="str">
        <f t="shared" si="16"/>
        <v/>
      </c>
      <c r="O187" s="17" t="str">
        <f>IF(OR(C187="Bullpen",C187="Game"),IFERROR(INDEX(Reference!$B$61:$B$62,MATCH(C187,Reference!$A$61:$A$62,0)),""),IF(D187="","",VLOOKUP(D187,Reference!$A$6:$B$11,2,TRUE())))</f>
        <v/>
      </c>
      <c r="P187" s="17" t="str">
        <f>IF(N187="","",VLOOKUP(MAX(N187,0),Reference!$A$17:$B$20,2,TRUE()))</f>
        <v/>
      </c>
      <c r="Q187" s="17" t="str">
        <f>IF(AND(OR(I187="",O187="",P187=""),OR(R187="",W187=""),OR(X187="",AC187="")),"",IF(OR(I187="",O187="",P187=""),0,I187*O187*P187)+IF(OR(R187="",W187=""),0,R187*IFERROR(INDEX(Reference!$B$61:$B$62,MATCH("Bullpen",Reference!$A$61:$A$62,0)),0)*W187)+IF(OR(X187="",AC187=""),0,X187*VLOOKUP(60,Reference!$A$6:$B$11,2,TRUE())*AC187))</f>
        <v/>
      </c>
      <c r="R187" s="16"/>
      <c r="S187" s="16"/>
      <c r="T187" s="16"/>
      <c r="U187" s="17" t="str">
        <f t="shared" si="17"/>
        <v/>
      </c>
      <c r="V187" s="17" t="str">
        <f t="shared" si="18"/>
        <v/>
      </c>
      <c r="W187" s="17" t="str">
        <f>IF(V187="","",VLOOKUP(MAX(V187,0),Reference!$A$17:$B$20,2,TRUE()))</f>
        <v/>
      </c>
      <c r="X187" s="16"/>
      <c r="Y187" s="16"/>
      <c r="Z187" s="16"/>
      <c r="AA187" s="17" t="str">
        <f t="shared" si="19"/>
        <v/>
      </c>
      <c r="AB187" s="17" t="str">
        <f t="shared" si="20"/>
        <v/>
      </c>
      <c r="AC187" s="17" t="str">
        <f>IF(AB187="","",VLOOKUP(MAX(AB187,0),Reference!$A$17:$B$20,2,TRUE()))</f>
        <v/>
      </c>
      <c r="AD187" s="16"/>
    </row>
    <row r="188" spans="1:30" x14ac:dyDescent="0.3">
      <c r="A188" s="19"/>
      <c r="B188" s="16"/>
      <c r="C188" s="16"/>
      <c r="D188" s="16"/>
      <c r="E188" s="18"/>
      <c r="F188" s="18"/>
      <c r="G188" s="15" t="str">
        <f t="shared" si="14"/>
        <v/>
      </c>
      <c r="H188" s="16"/>
      <c r="I188" s="17" t="str">
        <f>IF(H188&lt;&gt;"",H188,IF(G188="","",ROUND(G188*IFERROR(INDEX(Reference!$B$44:$B$50,MATCH(C188,Reference!$A$44:$A$50,0)),0),0)))</f>
        <v/>
      </c>
      <c r="J188" s="16"/>
      <c r="K188" s="16"/>
      <c r="L188" s="17" t="str">
        <f t="shared" si="15"/>
        <v/>
      </c>
      <c r="M188" s="17" t="str">
        <f>IFERROR(INDEX(Roster!$D$5:$D$40,MATCH(B188,Roster!$A$5:$A$40,0)),"")</f>
        <v/>
      </c>
      <c r="N188" s="17" t="str">
        <f t="shared" si="16"/>
        <v/>
      </c>
      <c r="O188" s="17" t="str">
        <f>IF(OR(C188="Bullpen",C188="Game"),IFERROR(INDEX(Reference!$B$61:$B$62,MATCH(C188,Reference!$A$61:$A$62,0)),""),IF(D188="","",VLOOKUP(D188,Reference!$A$6:$B$11,2,TRUE())))</f>
        <v/>
      </c>
      <c r="P188" s="17" t="str">
        <f>IF(N188="","",VLOOKUP(MAX(N188,0),Reference!$A$17:$B$20,2,TRUE()))</f>
        <v/>
      </c>
      <c r="Q188" s="17" t="str">
        <f>IF(AND(OR(I188="",O188="",P188=""),OR(R188="",W188=""),OR(X188="",AC188="")),"",IF(OR(I188="",O188="",P188=""),0,I188*O188*P188)+IF(OR(R188="",W188=""),0,R188*IFERROR(INDEX(Reference!$B$61:$B$62,MATCH("Bullpen",Reference!$A$61:$A$62,0)),0)*W188)+IF(OR(X188="",AC188=""),0,X188*VLOOKUP(60,Reference!$A$6:$B$11,2,TRUE())*AC188))</f>
        <v/>
      </c>
      <c r="R188" s="16"/>
      <c r="S188" s="16"/>
      <c r="T188" s="16"/>
      <c r="U188" s="17" t="str">
        <f t="shared" si="17"/>
        <v/>
      </c>
      <c r="V188" s="17" t="str">
        <f t="shared" si="18"/>
        <v/>
      </c>
      <c r="W188" s="17" t="str">
        <f>IF(V188="","",VLOOKUP(MAX(V188,0),Reference!$A$17:$B$20,2,TRUE()))</f>
        <v/>
      </c>
      <c r="X188" s="16"/>
      <c r="Y188" s="16"/>
      <c r="Z188" s="16"/>
      <c r="AA188" s="17" t="str">
        <f t="shared" si="19"/>
        <v/>
      </c>
      <c r="AB188" s="17" t="str">
        <f t="shared" si="20"/>
        <v/>
      </c>
      <c r="AC188" s="17" t="str">
        <f>IF(AB188="","",VLOOKUP(MAX(AB188,0),Reference!$A$17:$B$20,2,TRUE()))</f>
        <v/>
      </c>
      <c r="AD188" s="16"/>
    </row>
    <row r="189" spans="1:30" x14ac:dyDescent="0.3">
      <c r="A189" s="19"/>
      <c r="B189" s="16"/>
      <c r="C189" s="16"/>
      <c r="D189" s="16"/>
      <c r="E189" s="18"/>
      <c r="F189" s="18"/>
      <c r="G189" s="15" t="str">
        <f t="shared" si="14"/>
        <v/>
      </c>
      <c r="H189" s="16"/>
      <c r="I189" s="17" t="str">
        <f>IF(H189&lt;&gt;"",H189,IF(G189="","",ROUND(G189*IFERROR(INDEX(Reference!$B$44:$B$50,MATCH(C189,Reference!$A$44:$A$50,0)),0),0)))</f>
        <v/>
      </c>
      <c r="J189" s="16"/>
      <c r="K189" s="16"/>
      <c r="L189" s="17" t="str">
        <f t="shared" si="15"/>
        <v/>
      </c>
      <c r="M189" s="17" t="str">
        <f>IFERROR(INDEX(Roster!$D$5:$D$40,MATCH(B189,Roster!$A$5:$A$40,0)),"")</f>
        <v/>
      </c>
      <c r="N189" s="17" t="str">
        <f t="shared" si="16"/>
        <v/>
      </c>
      <c r="O189" s="17" t="str">
        <f>IF(OR(C189="Bullpen",C189="Game"),IFERROR(INDEX(Reference!$B$61:$B$62,MATCH(C189,Reference!$A$61:$A$62,0)),""),IF(D189="","",VLOOKUP(D189,Reference!$A$6:$B$11,2,TRUE())))</f>
        <v/>
      </c>
      <c r="P189" s="17" t="str">
        <f>IF(N189="","",VLOOKUP(MAX(N189,0),Reference!$A$17:$B$20,2,TRUE()))</f>
        <v/>
      </c>
      <c r="Q189" s="17" t="str">
        <f>IF(AND(OR(I189="",O189="",P189=""),OR(R189="",W189=""),OR(X189="",AC189="")),"",IF(OR(I189="",O189="",P189=""),0,I189*O189*P189)+IF(OR(R189="",W189=""),0,R189*IFERROR(INDEX(Reference!$B$61:$B$62,MATCH("Bullpen",Reference!$A$61:$A$62,0)),0)*W189)+IF(OR(X189="",AC189=""),0,X189*VLOOKUP(60,Reference!$A$6:$B$11,2,TRUE())*AC189))</f>
        <v/>
      </c>
      <c r="R189" s="16"/>
      <c r="S189" s="16"/>
      <c r="T189" s="16"/>
      <c r="U189" s="17" t="str">
        <f t="shared" si="17"/>
        <v/>
      </c>
      <c r="V189" s="17" t="str">
        <f t="shared" si="18"/>
        <v/>
      </c>
      <c r="W189" s="17" t="str">
        <f>IF(V189="","",VLOOKUP(MAX(V189,0),Reference!$A$17:$B$20,2,TRUE()))</f>
        <v/>
      </c>
      <c r="X189" s="16"/>
      <c r="Y189" s="16"/>
      <c r="Z189" s="16"/>
      <c r="AA189" s="17" t="str">
        <f t="shared" si="19"/>
        <v/>
      </c>
      <c r="AB189" s="17" t="str">
        <f t="shared" si="20"/>
        <v/>
      </c>
      <c r="AC189" s="17" t="str">
        <f>IF(AB189="","",VLOOKUP(MAX(AB189,0),Reference!$A$17:$B$20,2,TRUE()))</f>
        <v/>
      </c>
      <c r="AD189" s="16"/>
    </row>
    <row r="190" spans="1:30" x14ac:dyDescent="0.3">
      <c r="A190" s="19"/>
      <c r="B190" s="16"/>
      <c r="C190" s="16"/>
      <c r="D190" s="16"/>
      <c r="E190" s="18"/>
      <c r="F190" s="18"/>
      <c r="G190" s="15" t="str">
        <f t="shared" si="14"/>
        <v/>
      </c>
      <c r="H190" s="16"/>
      <c r="I190" s="17" t="str">
        <f>IF(H190&lt;&gt;"",H190,IF(G190="","",ROUND(G190*IFERROR(INDEX(Reference!$B$44:$B$50,MATCH(C190,Reference!$A$44:$A$50,0)),0),0)))</f>
        <v/>
      </c>
      <c r="J190" s="16"/>
      <c r="K190" s="16"/>
      <c r="L190" s="17" t="str">
        <f t="shared" si="15"/>
        <v/>
      </c>
      <c r="M190" s="17" t="str">
        <f>IFERROR(INDEX(Roster!$D$5:$D$40,MATCH(B190,Roster!$A$5:$A$40,0)),"")</f>
        <v/>
      </c>
      <c r="N190" s="17" t="str">
        <f t="shared" si="16"/>
        <v/>
      </c>
      <c r="O190" s="17" t="str">
        <f>IF(OR(C190="Bullpen",C190="Game"),IFERROR(INDEX(Reference!$B$61:$B$62,MATCH(C190,Reference!$A$61:$A$62,0)),""),IF(D190="","",VLOOKUP(D190,Reference!$A$6:$B$11,2,TRUE())))</f>
        <v/>
      </c>
      <c r="P190" s="17" t="str">
        <f>IF(N190="","",VLOOKUP(MAX(N190,0),Reference!$A$17:$B$20,2,TRUE()))</f>
        <v/>
      </c>
      <c r="Q190" s="17" t="str">
        <f>IF(AND(OR(I190="",O190="",P190=""),OR(R190="",W190=""),OR(X190="",AC190="")),"",IF(OR(I190="",O190="",P190=""),0,I190*O190*P190)+IF(OR(R190="",W190=""),0,R190*IFERROR(INDEX(Reference!$B$61:$B$62,MATCH("Bullpen",Reference!$A$61:$A$62,0)),0)*W190)+IF(OR(X190="",AC190=""),0,X190*VLOOKUP(60,Reference!$A$6:$B$11,2,TRUE())*AC190))</f>
        <v/>
      </c>
      <c r="R190" s="16"/>
      <c r="S190" s="16"/>
      <c r="T190" s="16"/>
      <c r="U190" s="17" t="str">
        <f t="shared" si="17"/>
        <v/>
      </c>
      <c r="V190" s="17" t="str">
        <f t="shared" si="18"/>
        <v/>
      </c>
      <c r="W190" s="17" t="str">
        <f>IF(V190="","",VLOOKUP(MAX(V190,0),Reference!$A$17:$B$20,2,TRUE()))</f>
        <v/>
      </c>
      <c r="X190" s="16"/>
      <c r="Y190" s="16"/>
      <c r="Z190" s="16"/>
      <c r="AA190" s="17" t="str">
        <f t="shared" si="19"/>
        <v/>
      </c>
      <c r="AB190" s="17" t="str">
        <f t="shared" si="20"/>
        <v/>
      </c>
      <c r="AC190" s="17" t="str">
        <f>IF(AB190="","",VLOOKUP(MAX(AB190,0),Reference!$A$17:$B$20,2,TRUE()))</f>
        <v/>
      </c>
      <c r="AD190" s="16"/>
    </row>
    <row r="191" spans="1:30" x14ac:dyDescent="0.3">
      <c r="A191" s="19"/>
      <c r="B191" s="16"/>
      <c r="C191" s="16"/>
      <c r="D191" s="16"/>
      <c r="E191" s="18"/>
      <c r="F191" s="18"/>
      <c r="G191" s="15" t="str">
        <f t="shared" si="14"/>
        <v/>
      </c>
      <c r="H191" s="16"/>
      <c r="I191" s="17" t="str">
        <f>IF(H191&lt;&gt;"",H191,IF(G191="","",ROUND(G191*IFERROR(INDEX(Reference!$B$44:$B$50,MATCH(C191,Reference!$A$44:$A$50,0)),0),0)))</f>
        <v/>
      </c>
      <c r="J191" s="16"/>
      <c r="K191" s="16"/>
      <c r="L191" s="17" t="str">
        <f t="shared" si="15"/>
        <v/>
      </c>
      <c r="M191" s="17" t="str">
        <f>IFERROR(INDEX(Roster!$D$5:$D$40,MATCH(B191,Roster!$A$5:$A$40,0)),"")</f>
        <v/>
      </c>
      <c r="N191" s="17" t="str">
        <f t="shared" si="16"/>
        <v/>
      </c>
      <c r="O191" s="17" t="str">
        <f>IF(OR(C191="Bullpen",C191="Game"),IFERROR(INDEX(Reference!$B$61:$B$62,MATCH(C191,Reference!$A$61:$A$62,0)),""),IF(D191="","",VLOOKUP(D191,Reference!$A$6:$B$11,2,TRUE())))</f>
        <v/>
      </c>
      <c r="P191" s="17" t="str">
        <f>IF(N191="","",VLOOKUP(MAX(N191,0),Reference!$A$17:$B$20,2,TRUE()))</f>
        <v/>
      </c>
      <c r="Q191" s="17" t="str">
        <f>IF(AND(OR(I191="",O191="",P191=""),OR(R191="",W191=""),OR(X191="",AC191="")),"",IF(OR(I191="",O191="",P191=""),0,I191*O191*P191)+IF(OR(R191="",W191=""),0,R191*IFERROR(INDEX(Reference!$B$61:$B$62,MATCH("Bullpen",Reference!$A$61:$A$62,0)),0)*W191)+IF(OR(X191="",AC191=""),0,X191*VLOOKUP(60,Reference!$A$6:$B$11,2,TRUE())*AC191))</f>
        <v/>
      </c>
      <c r="R191" s="16"/>
      <c r="S191" s="16"/>
      <c r="T191" s="16"/>
      <c r="U191" s="17" t="str">
        <f t="shared" si="17"/>
        <v/>
      </c>
      <c r="V191" s="17" t="str">
        <f t="shared" si="18"/>
        <v/>
      </c>
      <c r="W191" s="17" t="str">
        <f>IF(V191="","",VLOOKUP(MAX(V191,0),Reference!$A$17:$B$20,2,TRUE()))</f>
        <v/>
      </c>
      <c r="X191" s="16"/>
      <c r="Y191" s="16"/>
      <c r="Z191" s="16"/>
      <c r="AA191" s="17" t="str">
        <f t="shared" si="19"/>
        <v/>
      </c>
      <c r="AB191" s="17" t="str">
        <f t="shared" si="20"/>
        <v/>
      </c>
      <c r="AC191" s="17" t="str">
        <f>IF(AB191="","",VLOOKUP(MAX(AB191,0),Reference!$A$17:$B$20,2,TRUE()))</f>
        <v/>
      </c>
      <c r="AD191" s="16"/>
    </row>
    <row r="192" spans="1:30" x14ac:dyDescent="0.3">
      <c r="A192" s="19"/>
      <c r="B192" s="16"/>
      <c r="C192" s="16"/>
      <c r="D192" s="16"/>
      <c r="E192" s="18"/>
      <c r="F192" s="18"/>
      <c r="G192" s="15" t="str">
        <f t="shared" si="14"/>
        <v/>
      </c>
      <c r="H192" s="16"/>
      <c r="I192" s="17" t="str">
        <f>IF(H192&lt;&gt;"",H192,IF(G192="","",ROUND(G192*IFERROR(INDEX(Reference!$B$44:$B$50,MATCH(C192,Reference!$A$44:$A$50,0)),0),0)))</f>
        <v/>
      </c>
      <c r="J192" s="16"/>
      <c r="K192" s="16"/>
      <c r="L192" s="17" t="str">
        <f t="shared" si="15"/>
        <v/>
      </c>
      <c r="M192" s="17" t="str">
        <f>IFERROR(INDEX(Roster!$D$5:$D$40,MATCH(B192,Roster!$A$5:$A$40,0)),"")</f>
        <v/>
      </c>
      <c r="N192" s="17" t="str">
        <f t="shared" si="16"/>
        <v/>
      </c>
      <c r="O192" s="17" t="str">
        <f>IF(OR(C192="Bullpen",C192="Game"),IFERROR(INDEX(Reference!$B$61:$B$62,MATCH(C192,Reference!$A$61:$A$62,0)),""),IF(D192="","",VLOOKUP(D192,Reference!$A$6:$B$11,2,TRUE())))</f>
        <v/>
      </c>
      <c r="P192" s="17" t="str">
        <f>IF(N192="","",VLOOKUP(MAX(N192,0),Reference!$A$17:$B$20,2,TRUE()))</f>
        <v/>
      </c>
      <c r="Q192" s="17" t="str">
        <f>IF(AND(OR(I192="",O192="",P192=""),OR(R192="",W192=""),OR(X192="",AC192="")),"",IF(OR(I192="",O192="",P192=""),0,I192*O192*P192)+IF(OR(R192="",W192=""),0,R192*IFERROR(INDEX(Reference!$B$61:$B$62,MATCH("Bullpen",Reference!$A$61:$A$62,0)),0)*W192)+IF(OR(X192="",AC192=""),0,X192*VLOOKUP(60,Reference!$A$6:$B$11,2,TRUE())*AC192))</f>
        <v/>
      </c>
      <c r="R192" s="16"/>
      <c r="S192" s="16"/>
      <c r="T192" s="16"/>
      <c r="U192" s="17" t="str">
        <f t="shared" si="17"/>
        <v/>
      </c>
      <c r="V192" s="17" t="str">
        <f t="shared" si="18"/>
        <v/>
      </c>
      <c r="W192" s="17" t="str">
        <f>IF(V192="","",VLOOKUP(MAX(V192,0),Reference!$A$17:$B$20,2,TRUE()))</f>
        <v/>
      </c>
      <c r="X192" s="16"/>
      <c r="Y192" s="16"/>
      <c r="Z192" s="16"/>
      <c r="AA192" s="17" t="str">
        <f t="shared" si="19"/>
        <v/>
      </c>
      <c r="AB192" s="17" t="str">
        <f t="shared" si="20"/>
        <v/>
      </c>
      <c r="AC192" s="17" t="str">
        <f>IF(AB192="","",VLOOKUP(MAX(AB192,0),Reference!$A$17:$B$20,2,TRUE()))</f>
        <v/>
      </c>
      <c r="AD192" s="16"/>
    </row>
    <row r="193" spans="1:30" x14ac:dyDescent="0.3">
      <c r="A193" s="19"/>
      <c r="B193" s="16"/>
      <c r="C193" s="16"/>
      <c r="D193" s="16"/>
      <c r="E193" s="18"/>
      <c r="F193" s="18"/>
      <c r="G193" s="15" t="str">
        <f t="shared" si="14"/>
        <v/>
      </c>
      <c r="H193" s="16"/>
      <c r="I193" s="17" t="str">
        <f>IF(H193&lt;&gt;"",H193,IF(G193="","",ROUND(G193*IFERROR(INDEX(Reference!$B$44:$B$50,MATCH(C193,Reference!$A$44:$A$50,0)),0),0)))</f>
        <v/>
      </c>
      <c r="J193" s="16"/>
      <c r="K193" s="16"/>
      <c r="L193" s="17" t="str">
        <f t="shared" si="15"/>
        <v/>
      </c>
      <c r="M193" s="17" t="str">
        <f>IFERROR(INDEX(Roster!$D$5:$D$40,MATCH(B193,Roster!$A$5:$A$40,0)),"")</f>
        <v/>
      </c>
      <c r="N193" s="17" t="str">
        <f t="shared" si="16"/>
        <v/>
      </c>
      <c r="O193" s="17" t="str">
        <f>IF(OR(C193="Bullpen",C193="Game"),IFERROR(INDEX(Reference!$B$61:$B$62,MATCH(C193,Reference!$A$61:$A$62,0)),""),IF(D193="","",VLOOKUP(D193,Reference!$A$6:$B$11,2,TRUE())))</f>
        <v/>
      </c>
      <c r="P193" s="17" t="str">
        <f>IF(N193="","",VLOOKUP(MAX(N193,0),Reference!$A$17:$B$20,2,TRUE()))</f>
        <v/>
      </c>
      <c r="Q193" s="17" t="str">
        <f>IF(AND(OR(I193="",O193="",P193=""),OR(R193="",W193=""),OR(X193="",AC193="")),"",IF(OR(I193="",O193="",P193=""),0,I193*O193*P193)+IF(OR(R193="",W193=""),0,R193*IFERROR(INDEX(Reference!$B$61:$B$62,MATCH("Bullpen",Reference!$A$61:$A$62,0)),0)*W193)+IF(OR(X193="",AC193=""),0,X193*VLOOKUP(60,Reference!$A$6:$B$11,2,TRUE())*AC193))</f>
        <v/>
      </c>
      <c r="R193" s="16"/>
      <c r="S193" s="16"/>
      <c r="T193" s="16"/>
      <c r="U193" s="17" t="str">
        <f t="shared" si="17"/>
        <v/>
      </c>
      <c r="V193" s="17" t="str">
        <f t="shared" si="18"/>
        <v/>
      </c>
      <c r="W193" s="17" t="str">
        <f>IF(V193="","",VLOOKUP(MAX(V193,0),Reference!$A$17:$B$20,2,TRUE()))</f>
        <v/>
      </c>
      <c r="X193" s="16"/>
      <c r="Y193" s="16"/>
      <c r="Z193" s="16"/>
      <c r="AA193" s="17" t="str">
        <f t="shared" si="19"/>
        <v/>
      </c>
      <c r="AB193" s="17" t="str">
        <f t="shared" si="20"/>
        <v/>
      </c>
      <c r="AC193" s="17" t="str">
        <f>IF(AB193="","",VLOOKUP(MAX(AB193,0),Reference!$A$17:$B$20,2,TRUE()))</f>
        <v/>
      </c>
      <c r="AD193" s="16"/>
    </row>
    <row r="194" spans="1:30" x14ac:dyDescent="0.3">
      <c r="A194" s="19"/>
      <c r="B194" s="16"/>
      <c r="C194" s="16"/>
      <c r="D194" s="16"/>
      <c r="E194" s="18"/>
      <c r="F194" s="18"/>
      <c r="G194" s="15" t="str">
        <f t="shared" si="14"/>
        <v/>
      </c>
      <c r="H194" s="16"/>
      <c r="I194" s="17" t="str">
        <f>IF(H194&lt;&gt;"",H194,IF(G194="","",ROUND(G194*IFERROR(INDEX(Reference!$B$44:$B$50,MATCH(C194,Reference!$A$44:$A$50,0)),0),0)))</f>
        <v/>
      </c>
      <c r="J194" s="16"/>
      <c r="K194" s="16"/>
      <c r="L194" s="17" t="str">
        <f t="shared" si="15"/>
        <v/>
      </c>
      <c r="M194" s="17" t="str">
        <f>IFERROR(INDEX(Roster!$D$5:$D$40,MATCH(B194,Roster!$A$5:$A$40,0)),"")</f>
        <v/>
      </c>
      <c r="N194" s="17" t="str">
        <f t="shared" si="16"/>
        <v/>
      </c>
      <c r="O194" s="17" t="str">
        <f>IF(OR(C194="Bullpen",C194="Game"),IFERROR(INDEX(Reference!$B$61:$B$62,MATCH(C194,Reference!$A$61:$A$62,0)),""),IF(D194="","",VLOOKUP(D194,Reference!$A$6:$B$11,2,TRUE())))</f>
        <v/>
      </c>
      <c r="P194" s="17" t="str">
        <f>IF(N194="","",VLOOKUP(MAX(N194,0),Reference!$A$17:$B$20,2,TRUE()))</f>
        <v/>
      </c>
      <c r="Q194" s="17" t="str">
        <f>IF(AND(OR(I194="",O194="",P194=""),OR(R194="",W194=""),OR(X194="",AC194="")),"",IF(OR(I194="",O194="",P194=""),0,I194*O194*P194)+IF(OR(R194="",W194=""),0,R194*IFERROR(INDEX(Reference!$B$61:$B$62,MATCH("Bullpen",Reference!$A$61:$A$62,0)),0)*W194)+IF(OR(X194="",AC194=""),0,X194*VLOOKUP(60,Reference!$A$6:$B$11,2,TRUE())*AC194))</f>
        <v/>
      </c>
      <c r="R194" s="16"/>
      <c r="S194" s="16"/>
      <c r="T194" s="16"/>
      <c r="U194" s="17" t="str">
        <f t="shared" si="17"/>
        <v/>
      </c>
      <c r="V194" s="17" t="str">
        <f t="shared" si="18"/>
        <v/>
      </c>
      <c r="W194" s="17" t="str">
        <f>IF(V194="","",VLOOKUP(MAX(V194,0),Reference!$A$17:$B$20,2,TRUE()))</f>
        <v/>
      </c>
      <c r="X194" s="16"/>
      <c r="Y194" s="16"/>
      <c r="Z194" s="16"/>
      <c r="AA194" s="17" t="str">
        <f t="shared" si="19"/>
        <v/>
      </c>
      <c r="AB194" s="17" t="str">
        <f t="shared" si="20"/>
        <v/>
      </c>
      <c r="AC194" s="17" t="str">
        <f>IF(AB194="","",VLOOKUP(MAX(AB194,0),Reference!$A$17:$B$20,2,TRUE()))</f>
        <v/>
      </c>
      <c r="AD194" s="16"/>
    </row>
    <row r="195" spans="1:30" x14ac:dyDescent="0.3">
      <c r="A195" s="19"/>
      <c r="B195" s="16"/>
      <c r="C195" s="16"/>
      <c r="D195" s="16"/>
      <c r="E195" s="18"/>
      <c r="F195" s="18"/>
      <c r="G195" s="15" t="str">
        <f t="shared" si="14"/>
        <v/>
      </c>
      <c r="H195" s="16"/>
      <c r="I195" s="17" t="str">
        <f>IF(H195&lt;&gt;"",H195,IF(G195="","",ROUND(G195*IFERROR(INDEX(Reference!$B$44:$B$50,MATCH(C195,Reference!$A$44:$A$50,0)),0),0)))</f>
        <v/>
      </c>
      <c r="J195" s="16"/>
      <c r="K195" s="16"/>
      <c r="L195" s="17" t="str">
        <f t="shared" si="15"/>
        <v/>
      </c>
      <c r="M195" s="17" t="str">
        <f>IFERROR(INDEX(Roster!$D$5:$D$40,MATCH(B195,Roster!$A$5:$A$40,0)),"")</f>
        <v/>
      </c>
      <c r="N195" s="17" t="str">
        <f t="shared" si="16"/>
        <v/>
      </c>
      <c r="O195" s="17" t="str">
        <f>IF(OR(C195="Bullpen",C195="Game"),IFERROR(INDEX(Reference!$B$61:$B$62,MATCH(C195,Reference!$A$61:$A$62,0)),""),IF(D195="","",VLOOKUP(D195,Reference!$A$6:$B$11,2,TRUE())))</f>
        <v/>
      </c>
      <c r="P195" s="17" t="str">
        <f>IF(N195="","",VLOOKUP(MAX(N195,0),Reference!$A$17:$B$20,2,TRUE()))</f>
        <v/>
      </c>
      <c r="Q195" s="17" t="str">
        <f>IF(AND(OR(I195="",O195="",P195=""),OR(R195="",W195=""),OR(X195="",AC195="")),"",IF(OR(I195="",O195="",P195=""),0,I195*O195*P195)+IF(OR(R195="",W195=""),0,R195*IFERROR(INDEX(Reference!$B$61:$B$62,MATCH("Bullpen",Reference!$A$61:$A$62,0)),0)*W195)+IF(OR(X195="",AC195=""),0,X195*VLOOKUP(60,Reference!$A$6:$B$11,2,TRUE())*AC195))</f>
        <v/>
      </c>
      <c r="R195" s="16"/>
      <c r="S195" s="16"/>
      <c r="T195" s="16"/>
      <c r="U195" s="17" t="str">
        <f t="shared" si="17"/>
        <v/>
      </c>
      <c r="V195" s="17" t="str">
        <f t="shared" si="18"/>
        <v/>
      </c>
      <c r="W195" s="17" t="str">
        <f>IF(V195="","",VLOOKUP(MAX(V195,0),Reference!$A$17:$B$20,2,TRUE()))</f>
        <v/>
      </c>
      <c r="X195" s="16"/>
      <c r="Y195" s="16"/>
      <c r="Z195" s="16"/>
      <c r="AA195" s="17" t="str">
        <f t="shared" si="19"/>
        <v/>
      </c>
      <c r="AB195" s="17" t="str">
        <f t="shared" si="20"/>
        <v/>
      </c>
      <c r="AC195" s="17" t="str">
        <f>IF(AB195="","",VLOOKUP(MAX(AB195,0),Reference!$A$17:$B$20,2,TRUE()))</f>
        <v/>
      </c>
      <c r="AD195" s="16"/>
    </row>
    <row r="196" spans="1:30" x14ac:dyDescent="0.3">
      <c r="A196" s="19"/>
      <c r="B196" s="16"/>
      <c r="C196" s="16"/>
      <c r="D196" s="16"/>
      <c r="E196" s="18"/>
      <c r="F196" s="18"/>
      <c r="G196" s="15" t="str">
        <f t="shared" si="14"/>
        <v/>
      </c>
      <c r="H196" s="16"/>
      <c r="I196" s="17" t="str">
        <f>IF(H196&lt;&gt;"",H196,IF(G196="","",ROUND(G196*IFERROR(INDEX(Reference!$B$44:$B$50,MATCH(C196,Reference!$A$44:$A$50,0)),0),0)))</f>
        <v/>
      </c>
      <c r="J196" s="16"/>
      <c r="K196" s="16"/>
      <c r="L196" s="17" t="str">
        <f t="shared" si="15"/>
        <v/>
      </c>
      <c r="M196" s="17" t="str">
        <f>IFERROR(INDEX(Roster!$D$5:$D$40,MATCH(B196,Roster!$A$5:$A$40,0)),"")</f>
        <v/>
      </c>
      <c r="N196" s="17" t="str">
        <f t="shared" si="16"/>
        <v/>
      </c>
      <c r="O196" s="17" t="str">
        <f>IF(OR(C196="Bullpen",C196="Game"),IFERROR(INDEX(Reference!$B$61:$B$62,MATCH(C196,Reference!$A$61:$A$62,0)),""),IF(D196="","",VLOOKUP(D196,Reference!$A$6:$B$11,2,TRUE())))</f>
        <v/>
      </c>
      <c r="P196" s="17" t="str">
        <f>IF(N196="","",VLOOKUP(MAX(N196,0),Reference!$A$17:$B$20,2,TRUE()))</f>
        <v/>
      </c>
      <c r="Q196" s="17" t="str">
        <f>IF(AND(OR(I196="",O196="",P196=""),OR(R196="",W196=""),OR(X196="",AC196="")),"",IF(OR(I196="",O196="",P196=""),0,I196*O196*P196)+IF(OR(R196="",W196=""),0,R196*IFERROR(INDEX(Reference!$B$61:$B$62,MATCH("Bullpen",Reference!$A$61:$A$62,0)),0)*W196)+IF(OR(X196="",AC196=""),0,X196*VLOOKUP(60,Reference!$A$6:$B$11,2,TRUE())*AC196))</f>
        <v/>
      </c>
      <c r="R196" s="16"/>
      <c r="S196" s="16"/>
      <c r="T196" s="16"/>
      <c r="U196" s="17" t="str">
        <f t="shared" si="17"/>
        <v/>
      </c>
      <c r="V196" s="17" t="str">
        <f t="shared" si="18"/>
        <v/>
      </c>
      <c r="W196" s="17" t="str">
        <f>IF(V196="","",VLOOKUP(MAX(V196,0),Reference!$A$17:$B$20,2,TRUE()))</f>
        <v/>
      </c>
      <c r="X196" s="16"/>
      <c r="Y196" s="16"/>
      <c r="Z196" s="16"/>
      <c r="AA196" s="17" t="str">
        <f t="shared" si="19"/>
        <v/>
      </c>
      <c r="AB196" s="17" t="str">
        <f t="shared" si="20"/>
        <v/>
      </c>
      <c r="AC196" s="17" t="str">
        <f>IF(AB196="","",VLOOKUP(MAX(AB196,0),Reference!$A$17:$B$20,2,TRUE()))</f>
        <v/>
      </c>
      <c r="AD196" s="16"/>
    </row>
    <row r="197" spans="1:30" x14ac:dyDescent="0.3">
      <c r="A197" s="19"/>
      <c r="B197" s="16"/>
      <c r="C197" s="16"/>
      <c r="D197" s="16"/>
      <c r="E197" s="18"/>
      <c r="F197" s="18"/>
      <c r="G197" s="15" t="str">
        <f t="shared" ref="G197:G260" si="21">IF(OR(E197="",F197=""),"",(F197-E197)*1440)</f>
        <v/>
      </c>
      <c r="H197" s="16"/>
      <c r="I197" s="17" t="str">
        <f>IF(H197&lt;&gt;"",H197,IF(G197="","",ROUND(G197*IFERROR(INDEX(Reference!$B$44:$B$50,MATCH(C197,Reference!$A$44:$A$50,0)),0),0)))</f>
        <v/>
      </c>
      <c r="J197" s="16"/>
      <c r="K197" s="16"/>
      <c r="L197" s="17" t="str">
        <f t="shared" ref="L197:L260" si="22">IF(J197="","",IF(K197="",J197,AVERAGE(J197,K197)))</f>
        <v/>
      </c>
      <c r="M197" s="17" t="str">
        <f>IFERROR(INDEX(Roster!$D$5:$D$40,MATCH(B197,Roster!$A$5:$A$40,0)),"")</f>
        <v/>
      </c>
      <c r="N197" s="17" t="str">
        <f t="shared" ref="N197:N260" si="23">IF(OR(L197="",M197="",M197=0),"",M197-L197)</f>
        <v/>
      </c>
      <c r="O197" s="17" t="str">
        <f>IF(OR(C197="Bullpen",C197="Game"),IFERROR(INDEX(Reference!$B$61:$B$62,MATCH(C197,Reference!$A$61:$A$62,0)),""),IF(D197="","",VLOOKUP(D197,Reference!$A$6:$B$11,2,TRUE())))</f>
        <v/>
      </c>
      <c r="P197" s="17" t="str">
        <f>IF(N197="","",VLOOKUP(MAX(N197,0),Reference!$A$17:$B$20,2,TRUE()))</f>
        <v/>
      </c>
      <c r="Q197" s="17" t="str">
        <f>IF(AND(OR(I197="",O197="",P197=""),OR(R197="",W197=""),OR(X197="",AC197="")),"",IF(OR(I197="",O197="",P197=""),0,I197*O197*P197)+IF(OR(R197="",W197=""),0,R197*IFERROR(INDEX(Reference!$B$61:$B$62,MATCH("Bullpen",Reference!$A$61:$A$62,0)),0)*W197)+IF(OR(X197="",AC197=""),0,X197*VLOOKUP(60,Reference!$A$6:$B$11,2,TRUE())*AC197))</f>
        <v/>
      </c>
      <c r="R197" s="16"/>
      <c r="S197" s="16"/>
      <c r="T197" s="16"/>
      <c r="U197" s="17" t="str">
        <f t="shared" ref="U197:U260" si="24">IF(S197="","",IF(T197="",S197,AVERAGE(S197,T197)))</f>
        <v/>
      </c>
      <c r="V197" s="17" t="str">
        <f t="shared" ref="V197:V260" si="25">IF(OR(U197="",M197="",M197=0),"",M197-U197)</f>
        <v/>
      </c>
      <c r="W197" s="17" t="str">
        <f>IF(V197="","",VLOOKUP(MAX(V197,0),Reference!$A$17:$B$20,2,TRUE()))</f>
        <v/>
      </c>
      <c r="X197" s="16"/>
      <c r="Y197" s="16"/>
      <c r="Z197" s="16"/>
      <c r="AA197" s="17" t="str">
        <f t="shared" ref="AA197:AA260" si="26">IF(Y197="","",IF(Z197="",Y197,AVERAGE(Y197,Z197)))</f>
        <v/>
      </c>
      <c r="AB197" s="17" t="str">
        <f t="shared" ref="AB197:AB260" si="27">IF(OR(AA197="",M197="",M197=0),"",M197-AA197)</f>
        <v/>
      </c>
      <c r="AC197" s="17" t="str">
        <f>IF(AB197="","",VLOOKUP(MAX(AB197,0),Reference!$A$17:$B$20,2,TRUE()))</f>
        <v/>
      </c>
      <c r="AD197" s="16"/>
    </row>
    <row r="198" spans="1:30" x14ac:dyDescent="0.3">
      <c r="A198" s="19"/>
      <c r="B198" s="16"/>
      <c r="C198" s="16"/>
      <c r="D198" s="16"/>
      <c r="E198" s="18"/>
      <c r="F198" s="18"/>
      <c r="G198" s="15" t="str">
        <f t="shared" si="21"/>
        <v/>
      </c>
      <c r="H198" s="16"/>
      <c r="I198" s="17" t="str">
        <f>IF(H198&lt;&gt;"",H198,IF(G198="","",ROUND(G198*IFERROR(INDEX(Reference!$B$44:$B$50,MATCH(C198,Reference!$A$44:$A$50,0)),0),0)))</f>
        <v/>
      </c>
      <c r="J198" s="16"/>
      <c r="K198" s="16"/>
      <c r="L198" s="17" t="str">
        <f t="shared" si="22"/>
        <v/>
      </c>
      <c r="M198" s="17" t="str">
        <f>IFERROR(INDEX(Roster!$D$5:$D$40,MATCH(B198,Roster!$A$5:$A$40,0)),"")</f>
        <v/>
      </c>
      <c r="N198" s="17" t="str">
        <f t="shared" si="23"/>
        <v/>
      </c>
      <c r="O198" s="17" t="str">
        <f>IF(OR(C198="Bullpen",C198="Game"),IFERROR(INDEX(Reference!$B$61:$B$62,MATCH(C198,Reference!$A$61:$A$62,0)),""),IF(D198="","",VLOOKUP(D198,Reference!$A$6:$B$11,2,TRUE())))</f>
        <v/>
      </c>
      <c r="P198" s="17" t="str">
        <f>IF(N198="","",VLOOKUP(MAX(N198,0),Reference!$A$17:$B$20,2,TRUE()))</f>
        <v/>
      </c>
      <c r="Q198" s="17" t="str">
        <f>IF(AND(OR(I198="",O198="",P198=""),OR(R198="",W198=""),OR(X198="",AC198="")),"",IF(OR(I198="",O198="",P198=""),0,I198*O198*P198)+IF(OR(R198="",W198=""),0,R198*IFERROR(INDEX(Reference!$B$61:$B$62,MATCH("Bullpen",Reference!$A$61:$A$62,0)),0)*W198)+IF(OR(X198="",AC198=""),0,X198*VLOOKUP(60,Reference!$A$6:$B$11,2,TRUE())*AC198))</f>
        <v/>
      </c>
      <c r="R198" s="16"/>
      <c r="S198" s="16"/>
      <c r="T198" s="16"/>
      <c r="U198" s="17" t="str">
        <f t="shared" si="24"/>
        <v/>
      </c>
      <c r="V198" s="17" t="str">
        <f t="shared" si="25"/>
        <v/>
      </c>
      <c r="W198" s="17" t="str">
        <f>IF(V198="","",VLOOKUP(MAX(V198,0),Reference!$A$17:$B$20,2,TRUE()))</f>
        <v/>
      </c>
      <c r="X198" s="16"/>
      <c r="Y198" s="16"/>
      <c r="Z198" s="16"/>
      <c r="AA198" s="17" t="str">
        <f t="shared" si="26"/>
        <v/>
      </c>
      <c r="AB198" s="17" t="str">
        <f t="shared" si="27"/>
        <v/>
      </c>
      <c r="AC198" s="17" t="str">
        <f>IF(AB198="","",VLOOKUP(MAX(AB198,0),Reference!$A$17:$B$20,2,TRUE()))</f>
        <v/>
      </c>
      <c r="AD198" s="16"/>
    </row>
    <row r="199" spans="1:30" x14ac:dyDescent="0.3">
      <c r="A199" s="19"/>
      <c r="B199" s="16"/>
      <c r="C199" s="16"/>
      <c r="D199" s="16"/>
      <c r="E199" s="18"/>
      <c r="F199" s="18"/>
      <c r="G199" s="15" t="str">
        <f t="shared" si="21"/>
        <v/>
      </c>
      <c r="H199" s="16"/>
      <c r="I199" s="17" t="str">
        <f>IF(H199&lt;&gt;"",H199,IF(G199="","",ROUND(G199*IFERROR(INDEX(Reference!$B$44:$B$50,MATCH(C199,Reference!$A$44:$A$50,0)),0),0)))</f>
        <v/>
      </c>
      <c r="J199" s="16"/>
      <c r="K199" s="16"/>
      <c r="L199" s="17" t="str">
        <f t="shared" si="22"/>
        <v/>
      </c>
      <c r="M199" s="17" t="str">
        <f>IFERROR(INDEX(Roster!$D$5:$D$40,MATCH(B199,Roster!$A$5:$A$40,0)),"")</f>
        <v/>
      </c>
      <c r="N199" s="17" t="str">
        <f t="shared" si="23"/>
        <v/>
      </c>
      <c r="O199" s="17" t="str">
        <f>IF(OR(C199="Bullpen",C199="Game"),IFERROR(INDEX(Reference!$B$61:$B$62,MATCH(C199,Reference!$A$61:$A$62,0)),""),IF(D199="","",VLOOKUP(D199,Reference!$A$6:$B$11,2,TRUE())))</f>
        <v/>
      </c>
      <c r="P199" s="17" t="str">
        <f>IF(N199="","",VLOOKUP(MAX(N199,0),Reference!$A$17:$B$20,2,TRUE()))</f>
        <v/>
      </c>
      <c r="Q199" s="17" t="str">
        <f>IF(AND(OR(I199="",O199="",P199=""),OR(R199="",W199=""),OR(X199="",AC199="")),"",IF(OR(I199="",O199="",P199=""),0,I199*O199*P199)+IF(OR(R199="",W199=""),0,R199*IFERROR(INDEX(Reference!$B$61:$B$62,MATCH("Bullpen",Reference!$A$61:$A$62,0)),0)*W199)+IF(OR(X199="",AC199=""),0,X199*VLOOKUP(60,Reference!$A$6:$B$11,2,TRUE())*AC199))</f>
        <v/>
      </c>
      <c r="R199" s="16"/>
      <c r="S199" s="16"/>
      <c r="T199" s="16"/>
      <c r="U199" s="17" t="str">
        <f t="shared" si="24"/>
        <v/>
      </c>
      <c r="V199" s="17" t="str">
        <f t="shared" si="25"/>
        <v/>
      </c>
      <c r="W199" s="17" t="str">
        <f>IF(V199="","",VLOOKUP(MAX(V199,0),Reference!$A$17:$B$20,2,TRUE()))</f>
        <v/>
      </c>
      <c r="X199" s="16"/>
      <c r="Y199" s="16"/>
      <c r="Z199" s="16"/>
      <c r="AA199" s="17" t="str">
        <f t="shared" si="26"/>
        <v/>
      </c>
      <c r="AB199" s="17" t="str">
        <f t="shared" si="27"/>
        <v/>
      </c>
      <c r="AC199" s="17" t="str">
        <f>IF(AB199="","",VLOOKUP(MAX(AB199,0),Reference!$A$17:$B$20,2,TRUE()))</f>
        <v/>
      </c>
      <c r="AD199" s="16"/>
    </row>
    <row r="200" spans="1:30" x14ac:dyDescent="0.3">
      <c r="A200" s="19"/>
      <c r="B200" s="16"/>
      <c r="C200" s="16"/>
      <c r="D200" s="16"/>
      <c r="E200" s="18"/>
      <c r="F200" s="18"/>
      <c r="G200" s="15" t="str">
        <f t="shared" si="21"/>
        <v/>
      </c>
      <c r="H200" s="16"/>
      <c r="I200" s="17" t="str">
        <f>IF(H200&lt;&gt;"",H200,IF(G200="","",ROUND(G200*IFERROR(INDEX(Reference!$B$44:$B$50,MATCH(C200,Reference!$A$44:$A$50,0)),0),0)))</f>
        <v/>
      </c>
      <c r="J200" s="16"/>
      <c r="K200" s="16"/>
      <c r="L200" s="17" t="str">
        <f t="shared" si="22"/>
        <v/>
      </c>
      <c r="M200" s="17" t="str">
        <f>IFERROR(INDEX(Roster!$D$5:$D$40,MATCH(B200,Roster!$A$5:$A$40,0)),"")</f>
        <v/>
      </c>
      <c r="N200" s="17" t="str">
        <f t="shared" si="23"/>
        <v/>
      </c>
      <c r="O200" s="17" t="str">
        <f>IF(OR(C200="Bullpen",C200="Game"),IFERROR(INDEX(Reference!$B$61:$B$62,MATCH(C200,Reference!$A$61:$A$62,0)),""),IF(D200="","",VLOOKUP(D200,Reference!$A$6:$B$11,2,TRUE())))</f>
        <v/>
      </c>
      <c r="P200" s="17" t="str">
        <f>IF(N200="","",VLOOKUP(MAX(N200,0),Reference!$A$17:$B$20,2,TRUE()))</f>
        <v/>
      </c>
      <c r="Q200" s="17" t="str">
        <f>IF(AND(OR(I200="",O200="",P200=""),OR(R200="",W200=""),OR(X200="",AC200="")),"",IF(OR(I200="",O200="",P200=""),0,I200*O200*P200)+IF(OR(R200="",W200=""),0,R200*IFERROR(INDEX(Reference!$B$61:$B$62,MATCH("Bullpen",Reference!$A$61:$A$62,0)),0)*W200)+IF(OR(X200="",AC200=""),0,X200*VLOOKUP(60,Reference!$A$6:$B$11,2,TRUE())*AC200))</f>
        <v/>
      </c>
      <c r="R200" s="16"/>
      <c r="S200" s="16"/>
      <c r="T200" s="16"/>
      <c r="U200" s="17" t="str">
        <f t="shared" si="24"/>
        <v/>
      </c>
      <c r="V200" s="17" t="str">
        <f t="shared" si="25"/>
        <v/>
      </c>
      <c r="W200" s="17" t="str">
        <f>IF(V200="","",VLOOKUP(MAX(V200,0),Reference!$A$17:$B$20,2,TRUE()))</f>
        <v/>
      </c>
      <c r="X200" s="16"/>
      <c r="Y200" s="16"/>
      <c r="Z200" s="16"/>
      <c r="AA200" s="17" t="str">
        <f t="shared" si="26"/>
        <v/>
      </c>
      <c r="AB200" s="17" t="str">
        <f t="shared" si="27"/>
        <v/>
      </c>
      <c r="AC200" s="17" t="str">
        <f>IF(AB200="","",VLOOKUP(MAX(AB200,0),Reference!$A$17:$B$20,2,TRUE()))</f>
        <v/>
      </c>
      <c r="AD200" s="16"/>
    </row>
    <row r="201" spans="1:30" x14ac:dyDescent="0.3">
      <c r="A201" s="19"/>
      <c r="B201" s="16"/>
      <c r="C201" s="16"/>
      <c r="D201" s="16"/>
      <c r="E201" s="18"/>
      <c r="F201" s="18"/>
      <c r="G201" s="15" t="str">
        <f t="shared" si="21"/>
        <v/>
      </c>
      <c r="H201" s="16"/>
      <c r="I201" s="17" t="str">
        <f>IF(H201&lt;&gt;"",H201,IF(G201="","",ROUND(G201*IFERROR(INDEX(Reference!$B$44:$B$50,MATCH(C201,Reference!$A$44:$A$50,0)),0),0)))</f>
        <v/>
      </c>
      <c r="J201" s="16"/>
      <c r="K201" s="16"/>
      <c r="L201" s="17" t="str">
        <f t="shared" si="22"/>
        <v/>
      </c>
      <c r="M201" s="17" t="str">
        <f>IFERROR(INDEX(Roster!$D$5:$D$40,MATCH(B201,Roster!$A$5:$A$40,0)),"")</f>
        <v/>
      </c>
      <c r="N201" s="17" t="str">
        <f t="shared" si="23"/>
        <v/>
      </c>
      <c r="O201" s="17" t="str">
        <f>IF(OR(C201="Bullpen",C201="Game"),IFERROR(INDEX(Reference!$B$61:$B$62,MATCH(C201,Reference!$A$61:$A$62,0)),""),IF(D201="","",VLOOKUP(D201,Reference!$A$6:$B$11,2,TRUE())))</f>
        <v/>
      </c>
      <c r="P201" s="17" t="str">
        <f>IF(N201="","",VLOOKUP(MAX(N201,0),Reference!$A$17:$B$20,2,TRUE()))</f>
        <v/>
      </c>
      <c r="Q201" s="17" t="str">
        <f>IF(AND(OR(I201="",O201="",P201=""),OR(R201="",W201=""),OR(X201="",AC201="")),"",IF(OR(I201="",O201="",P201=""),0,I201*O201*P201)+IF(OR(R201="",W201=""),0,R201*IFERROR(INDEX(Reference!$B$61:$B$62,MATCH("Bullpen",Reference!$A$61:$A$62,0)),0)*W201)+IF(OR(X201="",AC201=""),0,X201*VLOOKUP(60,Reference!$A$6:$B$11,2,TRUE())*AC201))</f>
        <v/>
      </c>
      <c r="R201" s="16"/>
      <c r="S201" s="16"/>
      <c r="T201" s="16"/>
      <c r="U201" s="17" t="str">
        <f t="shared" si="24"/>
        <v/>
      </c>
      <c r="V201" s="17" t="str">
        <f t="shared" si="25"/>
        <v/>
      </c>
      <c r="W201" s="17" t="str">
        <f>IF(V201="","",VLOOKUP(MAX(V201,0),Reference!$A$17:$B$20,2,TRUE()))</f>
        <v/>
      </c>
      <c r="X201" s="16"/>
      <c r="Y201" s="16"/>
      <c r="Z201" s="16"/>
      <c r="AA201" s="17" t="str">
        <f t="shared" si="26"/>
        <v/>
      </c>
      <c r="AB201" s="17" t="str">
        <f t="shared" si="27"/>
        <v/>
      </c>
      <c r="AC201" s="17" t="str">
        <f>IF(AB201="","",VLOOKUP(MAX(AB201,0),Reference!$A$17:$B$20,2,TRUE()))</f>
        <v/>
      </c>
      <c r="AD201" s="16"/>
    </row>
    <row r="202" spans="1:30" x14ac:dyDescent="0.3">
      <c r="A202" s="19"/>
      <c r="B202" s="16"/>
      <c r="C202" s="16"/>
      <c r="D202" s="16"/>
      <c r="E202" s="18"/>
      <c r="F202" s="18"/>
      <c r="G202" s="15" t="str">
        <f t="shared" si="21"/>
        <v/>
      </c>
      <c r="H202" s="16"/>
      <c r="I202" s="17" t="str">
        <f>IF(H202&lt;&gt;"",H202,IF(G202="","",ROUND(G202*IFERROR(INDEX(Reference!$B$44:$B$50,MATCH(C202,Reference!$A$44:$A$50,0)),0),0)))</f>
        <v/>
      </c>
      <c r="J202" s="16"/>
      <c r="K202" s="16"/>
      <c r="L202" s="17" t="str">
        <f t="shared" si="22"/>
        <v/>
      </c>
      <c r="M202" s="17" t="str">
        <f>IFERROR(INDEX(Roster!$D$5:$D$40,MATCH(B202,Roster!$A$5:$A$40,0)),"")</f>
        <v/>
      </c>
      <c r="N202" s="17" t="str">
        <f t="shared" si="23"/>
        <v/>
      </c>
      <c r="O202" s="17" t="str">
        <f>IF(OR(C202="Bullpen",C202="Game"),IFERROR(INDEX(Reference!$B$61:$B$62,MATCH(C202,Reference!$A$61:$A$62,0)),""),IF(D202="","",VLOOKUP(D202,Reference!$A$6:$B$11,2,TRUE())))</f>
        <v/>
      </c>
      <c r="P202" s="17" t="str">
        <f>IF(N202="","",VLOOKUP(MAX(N202,0),Reference!$A$17:$B$20,2,TRUE()))</f>
        <v/>
      </c>
      <c r="Q202" s="17" t="str">
        <f>IF(AND(OR(I202="",O202="",P202=""),OR(R202="",W202=""),OR(X202="",AC202="")),"",IF(OR(I202="",O202="",P202=""),0,I202*O202*P202)+IF(OR(R202="",W202=""),0,R202*IFERROR(INDEX(Reference!$B$61:$B$62,MATCH("Bullpen",Reference!$A$61:$A$62,0)),0)*W202)+IF(OR(X202="",AC202=""),0,X202*VLOOKUP(60,Reference!$A$6:$B$11,2,TRUE())*AC202))</f>
        <v/>
      </c>
      <c r="R202" s="16"/>
      <c r="S202" s="16"/>
      <c r="T202" s="16"/>
      <c r="U202" s="17" t="str">
        <f t="shared" si="24"/>
        <v/>
      </c>
      <c r="V202" s="17" t="str">
        <f t="shared" si="25"/>
        <v/>
      </c>
      <c r="W202" s="17" t="str">
        <f>IF(V202="","",VLOOKUP(MAX(V202,0),Reference!$A$17:$B$20,2,TRUE()))</f>
        <v/>
      </c>
      <c r="X202" s="16"/>
      <c r="Y202" s="16"/>
      <c r="Z202" s="16"/>
      <c r="AA202" s="17" t="str">
        <f t="shared" si="26"/>
        <v/>
      </c>
      <c r="AB202" s="17" t="str">
        <f t="shared" si="27"/>
        <v/>
      </c>
      <c r="AC202" s="17" t="str">
        <f>IF(AB202="","",VLOOKUP(MAX(AB202,0),Reference!$A$17:$B$20,2,TRUE()))</f>
        <v/>
      </c>
      <c r="AD202" s="16"/>
    </row>
    <row r="203" spans="1:30" x14ac:dyDescent="0.3">
      <c r="A203" s="19"/>
      <c r="B203" s="16"/>
      <c r="C203" s="16"/>
      <c r="D203" s="16"/>
      <c r="E203" s="18"/>
      <c r="F203" s="18"/>
      <c r="G203" s="15" t="str">
        <f t="shared" si="21"/>
        <v/>
      </c>
      <c r="H203" s="16"/>
      <c r="I203" s="17" t="str">
        <f>IF(H203&lt;&gt;"",H203,IF(G203="","",ROUND(G203*IFERROR(INDEX(Reference!$B$44:$B$50,MATCH(C203,Reference!$A$44:$A$50,0)),0),0)))</f>
        <v/>
      </c>
      <c r="J203" s="16"/>
      <c r="K203" s="16"/>
      <c r="L203" s="17" t="str">
        <f t="shared" si="22"/>
        <v/>
      </c>
      <c r="M203" s="17" t="str">
        <f>IFERROR(INDEX(Roster!$D$5:$D$40,MATCH(B203,Roster!$A$5:$A$40,0)),"")</f>
        <v/>
      </c>
      <c r="N203" s="17" t="str">
        <f t="shared" si="23"/>
        <v/>
      </c>
      <c r="O203" s="17" t="str">
        <f>IF(OR(C203="Bullpen",C203="Game"),IFERROR(INDEX(Reference!$B$61:$B$62,MATCH(C203,Reference!$A$61:$A$62,0)),""),IF(D203="","",VLOOKUP(D203,Reference!$A$6:$B$11,2,TRUE())))</f>
        <v/>
      </c>
      <c r="P203" s="17" t="str">
        <f>IF(N203="","",VLOOKUP(MAX(N203,0),Reference!$A$17:$B$20,2,TRUE()))</f>
        <v/>
      </c>
      <c r="Q203" s="17" t="str">
        <f>IF(AND(OR(I203="",O203="",P203=""),OR(R203="",W203=""),OR(X203="",AC203="")),"",IF(OR(I203="",O203="",P203=""),0,I203*O203*P203)+IF(OR(R203="",W203=""),0,R203*IFERROR(INDEX(Reference!$B$61:$B$62,MATCH("Bullpen",Reference!$A$61:$A$62,0)),0)*W203)+IF(OR(X203="",AC203=""),0,X203*VLOOKUP(60,Reference!$A$6:$B$11,2,TRUE())*AC203))</f>
        <v/>
      </c>
      <c r="R203" s="16"/>
      <c r="S203" s="16"/>
      <c r="T203" s="16"/>
      <c r="U203" s="17" t="str">
        <f t="shared" si="24"/>
        <v/>
      </c>
      <c r="V203" s="17" t="str">
        <f t="shared" si="25"/>
        <v/>
      </c>
      <c r="W203" s="17" t="str">
        <f>IF(V203="","",VLOOKUP(MAX(V203,0),Reference!$A$17:$B$20,2,TRUE()))</f>
        <v/>
      </c>
      <c r="X203" s="16"/>
      <c r="Y203" s="16"/>
      <c r="Z203" s="16"/>
      <c r="AA203" s="17" t="str">
        <f t="shared" si="26"/>
        <v/>
      </c>
      <c r="AB203" s="17" t="str">
        <f t="shared" si="27"/>
        <v/>
      </c>
      <c r="AC203" s="17" t="str">
        <f>IF(AB203="","",VLOOKUP(MAX(AB203,0),Reference!$A$17:$B$20,2,TRUE()))</f>
        <v/>
      </c>
      <c r="AD203" s="16"/>
    </row>
    <row r="204" spans="1:30" x14ac:dyDescent="0.3">
      <c r="A204" s="19"/>
      <c r="B204" s="16"/>
      <c r="C204" s="16"/>
      <c r="D204" s="16"/>
      <c r="E204" s="18"/>
      <c r="F204" s="18"/>
      <c r="G204" s="15" t="str">
        <f t="shared" si="21"/>
        <v/>
      </c>
      <c r="H204" s="16"/>
      <c r="I204" s="17" t="str">
        <f>IF(H204&lt;&gt;"",H204,IF(G204="","",ROUND(G204*IFERROR(INDEX(Reference!$B$44:$B$50,MATCH(C204,Reference!$A$44:$A$50,0)),0),0)))</f>
        <v/>
      </c>
      <c r="J204" s="16"/>
      <c r="K204" s="16"/>
      <c r="L204" s="17" t="str">
        <f t="shared" si="22"/>
        <v/>
      </c>
      <c r="M204" s="17" t="str">
        <f>IFERROR(INDEX(Roster!$D$5:$D$40,MATCH(B204,Roster!$A$5:$A$40,0)),"")</f>
        <v/>
      </c>
      <c r="N204" s="17" t="str">
        <f t="shared" si="23"/>
        <v/>
      </c>
      <c r="O204" s="17" t="str">
        <f>IF(OR(C204="Bullpen",C204="Game"),IFERROR(INDEX(Reference!$B$61:$B$62,MATCH(C204,Reference!$A$61:$A$62,0)),""),IF(D204="","",VLOOKUP(D204,Reference!$A$6:$B$11,2,TRUE())))</f>
        <v/>
      </c>
      <c r="P204" s="17" t="str">
        <f>IF(N204="","",VLOOKUP(MAX(N204,0),Reference!$A$17:$B$20,2,TRUE()))</f>
        <v/>
      </c>
      <c r="Q204" s="17" t="str">
        <f>IF(AND(OR(I204="",O204="",P204=""),OR(R204="",W204=""),OR(X204="",AC204="")),"",IF(OR(I204="",O204="",P204=""),0,I204*O204*P204)+IF(OR(R204="",W204=""),0,R204*IFERROR(INDEX(Reference!$B$61:$B$62,MATCH("Bullpen",Reference!$A$61:$A$62,0)),0)*W204)+IF(OR(X204="",AC204=""),0,X204*VLOOKUP(60,Reference!$A$6:$B$11,2,TRUE())*AC204))</f>
        <v/>
      </c>
      <c r="R204" s="16"/>
      <c r="S204" s="16"/>
      <c r="T204" s="16"/>
      <c r="U204" s="17" t="str">
        <f t="shared" si="24"/>
        <v/>
      </c>
      <c r="V204" s="17" t="str">
        <f t="shared" si="25"/>
        <v/>
      </c>
      <c r="W204" s="17" t="str">
        <f>IF(V204="","",VLOOKUP(MAX(V204,0),Reference!$A$17:$B$20,2,TRUE()))</f>
        <v/>
      </c>
      <c r="X204" s="16"/>
      <c r="Y204" s="16"/>
      <c r="Z204" s="16"/>
      <c r="AA204" s="17" t="str">
        <f t="shared" si="26"/>
        <v/>
      </c>
      <c r="AB204" s="17" t="str">
        <f t="shared" si="27"/>
        <v/>
      </c>
      <c r="AC204" s="17" t="str">
        <f>IF(AB204="","",VLOOKUP(MAX(AB204,0),Reference!$A$17:$B$20,2,TRUE()))</f>
        <v/>
      </c>
      <c r="AD204" s="16"/>
    </row>
    <row r="205" spans="1:30" x14ac:dyDescent="0.3">
      <c r="A205" s="19"/>
      <c r="B205" s="16"/>
      <c r="C205" s="16"/>
      <c r="D205" s="16"/>
      <c r="E205" s="18"/>
      <c r="F205" s="18"/>
      <c r="G205" s="15" t="str">
        <f t="shared" si="21"/>
        <v/>
      </c>
      <c r="H205" s="16"/>
      <c r="I205" s="17" t="str">
        <f>IF(H205&lt;&gt;"",H205,IF(G205="","",ROUND(G205*IFERROR(INDEX(Reference!$B$44:$B$50,MATCH(C205,Reference!$A$44:$A$50,0)),0),0)))</f>
        <v/>
      </c>
      <c r="J205" s="16"/>
      <c r="K205" s="16"/>
      <c r="L205" s="17" t="str">
        <f t="shared" si="22"/>
        <v/>
      </c>
      <c r="M205" s="17" t="str">
        <f>IFERROR(INDEX(Roster!$D$5:$D$40,MATCH(B205,Roster!$A$5:$A$40,0)),"")</f>
        <v/>
      </c>
      <c r="N205" s="17" t="str">
        <f t="shared" si="23"/>
        <v/>
      </c>
      <c r="O205" s="17" t="str">
        <f>IF(OR(C205="Bullpen",C205="Game"),IFERROR(INDEX(Reference!$B$61:$B$62,MATCH(C205,Reference!$A$61:$A$62,0)),""),IF(D205="","",VLOOKUP(D205,Reference!$A$6:$B$11,2,TRUE())))</f>
        <v/>
      </c>
      <c r="P205" s="17" t="str">
        <f>IF(N205="","",VLOOKUP(MAX(N205,0),Reference!$A$17:$B$20,2,TRUE()))</f>
        <v/>
      </c>
      <c r="Q205" s="17" t="str">
        <f>IF(AND(OR(I205="",O205="",P205=""),OR(R205="",W205=""),OR(X205="",AC205="")),"",IF(OR(I205="",O205="",P205=""),0,I205*O205*P205)+IF(OR(R205="",W205=""),0,R205*IFERROR(INDEX(Reference!$B$61:$B$62,MATCH("Bullpen",Reference!$A$61:$A$62,0)),0)*W205)+IF(OR(X205="",AC205=""),0,X205*VLOOKUP(60,Reference!$A$6:$B$11,2,TRUE())*AC205))</f>
        <v/>
      </c>
      <c r="R205" s="16"/>
      <c r="S205" s="16"/>
      <c r="T205" s="16"/>
      <c r="U205" s="17" t="str">
        <f t="shared" si="24"/>
        <v/>
      </c>
      <c r="V205" s="17" t="str">
        <f t="shared" si="25"/>
        <v/>
      </c>
      <c r="W205" s="17" t="str">
        <f>IF(V205="","",VLOOKUP(MAX(V205,0),Reference!$A$17:$B$20,2,TRUE()))</f>
        <v/>
      </c>
      <c r="X205" s="16"/>
      <c r="Y205" s="16"/>
      <c r="Z205" s="16"/>
      <c r="AA205" s="17" t="str">
        <f t="shared" si="26"/>
        <v/>
      </c>
      <c r="AB205" s="17" t="str">
        <f t="shared" si="27"/>
        <v/>
      </c>
      <c r="AC205" s="17" t="str">
        <f>IF(AB205="","",VLOOKUP(MAX(AB205,0),Reference!$A$17:$B$20,2,TRUE()))</f>
        <v/>
      </c>
      <c r="AD205" s="16"/>
    </row>
    <row r="206" spans="1:30" x14ac:dyDescent="0.3">
      <c r="A206" s="19"/>
      <c r="B206" s="16"/>
      <c r="C206" s="16"/>
      <c r="D206" s="16"/>
      <c r="E206" s="18"/>
      <c r="F206" s="18"/>
      <c r="G206" s="15" t="str">
        <f t="shared" si="21"/>
        <v/>
      </c>
      <c r="H206" s="16"/>
      <c r="I206" s="17" t="str">
        <f>IF(H206&lt;&gt;"",H206,IF(G206="","",ROUND(G206*IFERROR(INDEX(Reference!$B$44:$B$50,MATCH(C206,Reference!$A$44:$A$50,0)),0),0)))</f>
        <v/>
      </c>
      <c r="J206" s="16"/>
      <c r="K206" s="16"/>
      <c r="L206" s="17" t="str">
        <f t="shared" si="22"/>
        <v/>
      </c>
      <c r="M206" s="17" t="str">
        <f>IFERROR(INDEX(Roster!$D$5:$D$40,MATCH(B206,Roster!$A$5:$A$40,0)),"")</f>
        <v/>
      </c>
      <c r="N206" s="17" t="str">
        <f t="shared" si="23"/>
        <v/>
      </c>
      <c r="O206" s="17" t="str">
        <f>IF(OR(C206="Bullpen",C206="Game"),IFERROR(INDEX(Reference!$B$61:$B$62,MATCH(C206,Reference!$A$61:$A$62,0)),""),IF(D206="","",VLOOKUP(D206,Reference!$A$6:$B$11,2,TRUE())))</f>
        <v/>
      </c>
      <c r="P206" s="17" t="str">
        <f>IF(N206="","",VLOOKUP(MAX(N206,0),Reference!$A$17:$B$20,2,TRUE()))</f>
        <v/>
      </c>
      <c r="Q206" s="17" t="str">
        <f>IF(AND(OR(I206="",O206="",P206=""),OR(R206="",W206=""),OR(X206="",AC206="")),"",IF(OR(I206="",O206="",P206=""),0,I206*O206*P206)+IF(OR(R206="",W206=""),0,R206*IFERROR(INDEX(Reference!$B$61:$B$62,MATCH("Bullpen",Reference!$A$61:$A$62,0)),0)*W206)+IF(OR(X206="",AC206=""),0,X206*VLOOKUP(60,Reference!$A$6:$B$11,2,TRUE())*AC206))</f>
        <v/>
      </c>
      <c r="R206" s="16"/>
      <c r="S206" s="16"/>
      <c r="T206" s="16"/>
      <c r="U206" s="17" t="str">
        <f t="shared" si="24"/>
        <v/>
      </c>
      <c r="V206" s="17" t="str">
        <f t="shared" si="25"/>
        <v/>
      </c>
      <c r="W206" s="17" t="str">
        <f>IF(V206="","",VLOOKUP(MAX(V206,0),Reference!$A$17:$B$20,2,TRUE()))</f>
        <v/>
      </c>
      <c r="X206" s="16"/>
      <c r="Y206" s="16"/>
      <c r="Z206" s="16"/>
      <c r="AA206" s="17" t="str">
        <f t="shared" si="26"/>
        <v/>
      </c>
      <c r="AB206" s="17" t="str">
        <f t="shared" si="27"/>
        <v/>
      </c>
      <c r="AC206" s="17" t="str">
        <f>IF(AB206="","",VLOOKUP(MAX(AB206,0),Reference!$A$17:$B$20,2,TRUE()))</f>
        <v/>
      </c>
      <c r="AD206" s="16"/>
    </row>
    <row r="207" spans="1:30" x14ac:dyDescent="0.3">
      <c r="A207" s="19"/>
      <c r="B207" s="16"/>
      <c r="C207" s="16"/>
      <c r="D207" s="16"/>
      <c r="E207" s="18"/>
      <c r="F207" s="18"/>
      <c r="G207" s="15" t="str">
        <f t="shared" si="21"/>
        <v/>
      </c>
      <c r="H207" s="16"/>
      <c r="I207" s="17" t="str">
        <f>IF(H207&lt;&gt;"",H207,IF(G207="","",ROUND(G207*IFERROR(INDEX(Reference!$B$44:$B$50,MATCH(C207,Reference!$A$44:$A$50,0)),0),0)))</f>
        <v/>
      </c>
      <c r="J207" s="16"/>
      <c r="K207" s="16"/>
      <c r="L207" s="17" t="str">
        <f t="shared" si="22"/>
        <v/>
      </c>
      <c r="M207" s="17" t="str">
        <f>IFERROR(INDEX(Roster!$D$5:$D$40,MATCH(B207,Roster!$A$5:$A$40,0)),"")</f>
        <v/>
      </c>
      <c r="N207" s="17" t="str">
        <f t="shared" si="23"/>
        <v/>
      </c>
      <c r="O207" s="17" t="str">
        <f>IF(OR(C207="Bullpen",C207="Game"),IFERROR(INDEX(Reference!$B$61:$B$62,MATCH(C207,Reference!$A$61:$A$62,0)),""),IF(D207="","",VLOOKUP(D207,Reference!$A$6:$B$11,2,TRUE())))</f>
        <v/>
      </c>
      <c r="P207" s="17" t="str">
        <f>IF(N207="","",VLOOKUP(MAX(N207,0),Reference!$A$17:$B$20,2,TRUE()))</f>
        <v/>
      </c>
      <c r="Q207" s="17" t="str">
        <f>IF(AND(OR(I207="",O207="",P207=""),OR(R207="",W207=""),OR(X207="",AC207="")),"",IF(OR(I207="",O207="",P207=""),0,I207*O207*P207)+IF(OR(R207="",W207=""),0,R207*IFERROR(INDEX(Reference!$B$61:$B$62,MATCH("Bullpen",Reference!$A$61:$A$62,0)),0)*W207)+IF(OR(X207="",AC207=""),0,X207*VLOOKUP(60,Reference!$A$6:$B$11,2,TRUE())*AC207))</f>
        <v/>
      </c>
      <c r="R207" s="16"/>
      <c r="S207" s="16"/>
      <c r="T207" s="16"/>
      <c r="U207" s="17" t="str">
        <f t="shared" si="24"/>
        <v/>
      </c>
      <c r="V207" s="17" t="str">
        <f t="shared" si="25"/>
        <v/>
      </c>
      <c r="W207" s="17" t="str">
        <f>IF(V207="","",VLOOKUP(MAX(V207,0),Reference!$A$17:$B$20,2,TRUE()))</f>
        <v/>
      </c>
      <c r="X207" s="16"/>
      <c r="Y207" s="16"/>
      <c r="Z207" s="16"/>
      <c r="AA207" s="17" t="str">
        <f t="shared" si="26"/>
        <v/>
      </c>
      <c r="AB207" s="17" t="str">
        <f t="shared" si="27"/>
        <v/>
      </c>
      <c r="AC207" s="17" t="str">
        <f>IF(AB207="","",VLOOKUP(MAX(AB207,0),Reference!$A$17:$B$20,2,TRUE()))</f>
        <v/>
      </c>
      <c r="AD207" s="16"/>
    </row>
    <row r="208" spans="1:30" x14ac:dyDescent="0.3">
      <c r="A208" s="19"/>
      <c r="B208" s="16"/>
      <c r="C208" s="16"/>
      <c r="D208" s="16"/>
      <c r="E208" s="18"/>
      <c r="F208" s="18"/>
      <c r="G208" s="15" t="str">
        <f t="shared" si="21"/>
        <v/>
      </c>
      <c r="H208" s="16"/>
      <c r="I208" s="17" t="str">
        <f>IF(H208&lt;&gt;"",H208,IF(G208="","",ROUND(G208*IFERROR(INDEX(Reference!$B$44:$B$50,MATCH(C208,Reference!$A$44:$A$50,0)),0),0)))</f>
        <v/>
      </c>
      <c r="J208" s="16"/>
      <c r="K208" s="16"/>
      <c r="L208" s="17" t="str">
        <f t="shared" si="22"/>
        <v/>
      </c>
      <c r="M208" s="17" t="str">
        <f>IFERROR(INDEX(Roster!$D$5:$D$40,MATCH(B208,Roster!$A$5:$A$40,0)),"")</f>
        <v/>
      </c>
      <c r="N208" s="17" t="str">
        <f t="shared" si="23"/>
        <v/>
      </c>
      <c r="O208" s="17" t="str">
        <f>IF(OR(C208="Bullpen",C208="Game"),IFERROR(INDEX(Reference!$B$61:$B$62,MATCH(C208,Reference!$A$61:$A$62,0)),""),IF(D208="","",VLOOKUP(D208,Reference!$A$6:$B$11,2,TRUE())))</f>
        <v/>
      </c>
      <c r="P208" s="17" t="str">
        <f>IF(N208="","",VLOOKUP(MAX(N208,0),Reference!$A$17:$B$20,2,TRUE()))</f>
        <v/>
      </c>
      <c r="Q208" s="17" t="str">
        <f>IF(AND(OR(I208="",O208="",P208=""),OR(R208="",W208=""),OR(X208="",AC208="")),"",IF(OR(I208="",O208="",P208=""),0,I208*O208*P208)+IF(OR(R208="",W208=""),0,R208*IFERROR(INDEX(Reference!$B$61:$B$62,MATCH("Bullpen",Reference!$A$61:$A$62,0)),0)*W208)+IF(OR(X208="",AC208=""),0,X208*VLOOKUP(60,Reference!$A$6:$B$11,2,TRUE())*AC208))</f>
        <v/>
      </c>
      <c r="R208" s="16"/>
      <c r="S208" s="16"/>
      <c r="T208" s="16"/>
      <c r="U208" s="17" t="str">
        <f t="shared" si="24"/>
        <v/>
      </c>
      <c r="V208" s="17" t="str">
        <f t="shared" si="25"/>
        <v/>
      </c>
      <c r="W208" s="17" t="str">
        <f>IF(V208="","",VLOOKUP(MAX(V208,0),Reference!$A$17:$B$20,2,TRUE()))</f>
        <v/>
      </c>
      <c r="X208" s="16"/>
      <c r="Y208" s="16"/>
      <c r="Z208" s="16"/>
      <c r="AA208" s="17" t="str">
        <f t="shared" si="26"/>
        <v/>
      </c>
      <c r="AB208" s="17" t="str">
        <f t="shared" si="27"/>
        <v/>
      </c>
      <c r="AC208" s="17" t="str">
        <f>IF(AB208="","",VLOOKUP(MAX(AB208,0),Reference!$A$17:$B$20,2,TRUE()))</f>
        <v/>
      </c>
      <c r="AD208" s="16"/>
    </row>
    <row r="209" spans="1:30" x14ac:dyDescent="0.3">
      <c r="A209" s="19"/>
      <c r="B209" s="16"/>
      <c r="C209" s="16"/>
      <c r="D209" s="16"/>
      <c r="E209" s="18"/>
      <c r="F209" s="18"/>
      <c r="G209" s="15" t="str">
        <f t="shared" si="21"/>
        <v/>
      </c>
      <c r="H209" s="16"/>
      <c r="I209" s="17" t="str">
        <f>IF(H209&lt;&gt;"",H209,IF(G209="","",ROUND(G209*IFERROR(INDEX(Reference!$B$44:$B$50,MATCH(C209,Reference!$A$44:$A$50,0)),0),0)))</f>
        <v/>
      </c>
      <c r="J209" s="16"/>
      <c r="K209" s="16"/>
      <c r="L209" s="17" t="str">
        <f t="shared" si="22"/>
        <v/>
      </c>
      <c r="M209" s="17" t="str">
        <f>IFERROR(INDEX(Roster!$D$5:$D$40,MATCH(B209,Roster!$A$5:$A$40,0)),"")</f>
        <v/>
      </c>
      <c r="N209" s="17" t="str">
        <f t="shared" si="23"/>
        <v/>
      </c>
      <c r="O209" s="17" t="str">
        <f>IF(OR(C209="Bullpen",C209="Game"),IFERROR(INDEX(Reference!$B$61:$B$62,MATCH(C209,Reference!$A$61:$A$62,0)),""),IF(D209="","",VLOOKUP(D209,Reference!$A$6:$B$11,2,TRUE())))</f>
        <v/>
      </c>
      <c r="P209" s="17" t="str">
        <f>IF(N209="","",VLOOKUP(MAX(N209,0),Reference!$A$17:$B$20,2,TRUE()))</f>
        <v/>
      </c>
      <c r="Q209" s="17" t="str">
        <f>IF(AND(OR(I209="",O209="",P209=""),OR(R209="",W209=""),OR(X209="",AC209="")),"",IF(OR(I209="",O209="",P209=""),0,I209*O209*P209)+IF(OR(R209="",W209=""),0,R209*IFERROR(INDEX(Reference!$B$61:$B$62,MATCH("Bullpen",Reference!$A$61:$A$62,0)),0)*W209)+IF(OR(X209="",AC209=""),0,X209*VLOOKUP(60,Reference!$A$6:$B$11,2,TRUE())*AC209))</f>
        <v/>
      </c>
      <c r="R209" s="16"/>
      <c r="S209" s="16"/>
      <c r="T209" s="16"/>
      <c r="U209" s="17" t="str">
        <f t="shared" si="24"/>
        <v/>
      </c>
      <c r="V209" s="17" t="str">
        <f t="shared" si="25"/>
        <v/>
      </c>
      <c r="W209" s="17" t="str">
        <f>IF(V209="","",VLOOKUP(MAX(V209,0),Reference!$A$17:$B$20,2,TRUE()))</f>
        <v/>
      </c>
      <c r="X209" s="16"/>
      <c r="Y209" s="16"/>
      <c r="Z209" s="16"/>
      <c r="AA209" s="17" t="str">
        <f t="shared" si="26"/>
        <v/>
      </c>
      <c r="AB209" s="17" t="str">
        <f t="shared" si="27"/>
        <v/>
      </c>
      <c r="AC209" s="17" t="str">
        <f>IF(AB209="","",VLOOKUP(MAX(AB209,0),Reference!$A$17:$B$20,2,TRUE()))</f>
        <v/>
      </c>
      <c r="AD209" s="16"/>
    </row>
    <row r="210" spans="1:30" x14ac:dyDescent="0.3">
      <c r="A210" s="19"/>
      <c r="B210" s="16"/>
      <c r="C210" s="16"/>
      <c r="D210" s="16"/>
      <c r="E210" s="18"/>
      <c r="F210" s="18"/>
      <c r="G210" s="15" t="str">
        <f t="shared" si="21"/>
        <v/>
      </c>
      <c r="H210" s="16"/>
      <c r="I210" s="17" t="str">
        <f>IF(H210&lt;&gt;"",H210,IF(G210="","",ROUND(G210*IFERROR(INDEX(Reference!$B$44:$B$50,MATCH(C210,Reference!$A$44:$A$50,0)),0),0)))</f>
        <v/>
      </c>
      <c r="J210" s="16"/>
      <c r="K210" s="16"/>
      <c r="L210" s="17" t="str">
        <f t="shared" si="22"/>
        <v/>
      </c>
      <c r="M210" s="17" t="str">
        <f>IFERROR(INDEX(Roster!$D$5:$D$40,MATCH(B210,Roster!$A$5:$A$40,0)),"")</f>
        <v/>
      </c>
      <c r="N210" s="17" t="str">
        <f t="shared" si="23"/>
        <v/>
      </c>
      <c r="O210" s="17" t="str">
        <f>IF(OR(C210="Bullpen",C210="Game"),IFERROR(INDEX(Reference!$B$61:$B$62,MATCH(C210,Reference!$A$61:$A$62,0)),""),IF(D210="","",VLOOKUP(D210,Reference!$A$6:$B$11,2,TRUE())))</f>
        <v/>
      </c>
      <c r="P210" s="17" t="str">
        <f>IF(N210="","",VLOOKUP(MAX(N210,0),Reference!$A$17:$B$20,2,TRUE()))</f>
        <v/>
      </c>
      <c r="Q210" s="17" t="str">
        <f>IF(AND(OR(I210="",O210="",P210=""),OR(R210="",W210=""),OR(X210="",AC210="")),"",IF(OR(I210="",O210="",P210=""),0,I210*O210*P210)+IF(OR(R210="",W210=""),0,R210*IFERROR(INDEX(Reference!$B$61:$B$62,MATCH("Bullpen",Reference!$A$61:$A$62,0)),0)*W210)+IF(OR(X210="",AC210=""),0,X210*VLOOKUP(60,Reference!$A$6:$B$11,2,TRUE())*AC210))</f>
        <v/>
      </c>
      <c r="R210" s="16"/>
      <c r="S210" s="16"/>
      <c r="T210" s="16"/>
      <c r="U210" s="17" t="str">
        <f t="shared" si="24"/>
        <v/>
      </c>
      <c r="V210" s="17" t="str">
        <f t="shared" si="25"/>
        <v/>
      </c>
      <c r="W210" s="17" t="str">
        <f>IF(V210="","",VLOOKUP(MAX(V210,0),Reference!$A$17:$B$20,2,TRUE()))</f>
        <v/>
      </c>
      <c r="X210" s="16"/>
      <c r="Y210" s="16"/>
      <c r="Z210" s="16"/>
      <c r="AA210" s="17" t="str">
        <f t="shared" si="26"/>
        <v/>
      </c>
      <c r="AB210" s="17" t="str">
        <f t="shared" si="27"/>
        <v/>
      </c>
      <c r="AC210" s="17" t="str">
        <f>IF(AB210="","",VLOOKUP(MAX(AB210,0),Reference!$A$17:$B$20,2,TRUE()))</f>
        <v/>
      </c>
      <c r="AD210" s="16"/>
    </row>
    <row r="211" spans="1:30" x14ac:dyDescent="0.3">
      <c r="A211" s="19"/>
      <c r="B211" s="16"/>
      <c r="C211" s="16"/>
      <c r="D211" s="16"/>
      <c r="E211" s="18"/>
      <c r="F211" s="18"/>
      <c r="G211" s="15" t="str">
        <f t="shared" si="21"/>
        <v/>
      </c>
      <c r="H211" s="16"/>
      <c r="I211" s="17" t="str">
        <f>IF(H211&lt;&gt;"",H211,IF(G211="","",ROUND(G211*IFERROR(INDEX(Reference!$B$44:$B$50,MATCH(C211,Reference!$A$44:$A$50,0)),0),0)))</f>
        <v/>
      </c>
      <c r="J211" s="16"/>
      <c r="K211" s="16"/>
      <c r="L211" s="17" t="str">
        <f t="shared" si="22"/>
        <v/>
      </c>
      <c r="M211" s="17" t="str">
        <f>IFERROR(INDEX(Roster!$D$5:$D$40,MATCH(B211,Roster!$A$5:$A$40,0)),"")</f>
        <v/>
      </c>
      <c r="N211" s="17" t="str">
        <f t="shared" si="23"/>
        <v/>
      </c>
      <c r="O211" s="17" t="str">
        <f>IF(OR(C211="Bullpen",C211="Game"),IFERROR(INDEX(Reference!$B$61:$B$62,MATCH(C211,Reference!$A$61:$A$62,0)),""),IF(D211="","",VLOOKUP(D211,Reference!$A$6:$B$11,2,TRUE())))</f>
        <v/>
      </c>
      <c r="P211" s="17" t="str">
        <f>IF(N211="","",VLOOKUP(MAX(N211,0),Reference!$A$17:$B$20,2,TRUE()))</f>
        <v/>
      </c>
      <c r="Q211" s="17" t="str">
        <f>IF(AND(OR(I211="",O211="",P211=""),OR(R211="",W211=""),OR(X211="",AC211="")),"",IF(OR(I211="",O211="",P211=""),0,I211*O211*P211)+IF(OR(R211="",W211=""),0,R211*IFERROR(INDEX(Reference!$B$61:$B$62,MATCH("Bullpen",Reference!$A$61:$A$62,0)),0)*W211)+IF(OR(X211="",AC211=""),0,X211*VLOOKUP(60,Reference!$A$6:$B$11,2,TRUE())*AC211))</f>
        <v/>
      </c>
      <c r="R211" s="16"/>
      <c r="S211" s="16"/>
      <c r="T211" s="16"/>
      <c r="U211" s="17" t="str">
        <f t="shared" si="24"/>
        <v/>
      </c>
      <c r="V211" s="17" t="str">
        <f t="shared" si="25"/>
        <v/>
      </c>
      <c r="W211" s="17" t="str">
        <f>IF(V211="","",VLOOKUP(MAX(V211,0),Reference!$A$17:$B$20,2,TRUE()))</f>
        <v/>
      </c>
      <c r="X211" s="16"/>
      <c r="Y211" s="16"/>
      <c r="Z211" s="16"/>
      <c r="AA211" s="17" t="str">
        <f t="shared" si="26"/>
        <v/>
      </c>
      <c r="AB211" s="17" t="str">
        <f t="shared" si="27"/>
        <v/>
      </c>
      <c r="AC211" s="17" t="str">
        <f>IF(AB211="","",VLOOKUP(MAX(AB211,0),Reference!$A$17:$B$20,2,TRUE()))</f>
        <v/>
      </c>
      <c r="AD211" s="16"/>
    </row>
    <row r="212" spans="1:30" x14ac:dyDescent="0.3">
      <c r="A212" s="19"/>
      <c r="B212" s="16"/>
      <c r="C212" s="16"/>
      <c r="D212" s="16"/>
      <c r="E212" s="18"/>
      <c r="F212" s="18"/>
      <c r="G212" s="15" t="str">
        <f t="shared" si="21"/>
        <v/>
      </c>
      <c r="H212" s="16"/>
      <c r="I212" s="17" t="str">
        <f>IF(H212&lt;&gt;"",H212,IF(G212="","",ROUND(G212*IFERROR(INDEX(Reference!$B$44:$B$50,MATCH(C212,Reference!$A$44:$A$50,0)),0),0)))</f>
        <v/>
      </c>
      <c r="J212" s="16"/>
      <c r="K212" s="16"/>
      <c r="L212" s="17" t="str">
        <f t="shared" si="22"/>
        <v/>
      </c>
      <c r="M212" s="17" t="str">
        <f>IFERROR(INDEX(Roster!$D$5:$D$40,MATCH(B212,Roster!$A$5:$A$40,0)),"")</f>
        <v/>
      </c>
      <c r="N212" s="17" t="str">
        <f t="shared" si="23"/>
        <v/>
      </c>
      <c r="O212" s="17" t="str">
        <f>IF(OR(C212="Bullpen",C212="Game"),IFERROR(INDEX(Reference!$B$61:$B$62,MATCH(C212,Reference!$A$61:$A$62,0)),""),IF(D212="","",VLOOKUP(D212,Reference!$A$6:$B$11,2,TRUE())))</f>
        <v/>
      </c>
      <c r="P212" s="17" t="str">
        <f>IF(N212="","",VLOOKUP(MAX(N212,0),Reference!$A$17:$B$20,2,TRUE()))</f>
        <v/>
      </c>
      <c r="Q212" s="17" t="str">
        <f>IF(AND(OR(I212="",O212="",P212=""),OR(R212="",W212=""),OR(X212="",AC212="")),"",IF(OR(I212="",O212="",P212=""),0,I212*O212*P212)+IF(OR(R212="",W212=""),0,R212*IFERROR(INDEX(Reference!$B$61:$B$62,MATCH("Bullpen",Reference!$A$61:$A$62,0)),0)*W212)+IF(OR(X212="",AC212=""),0,X212*VLOOKUP(60,Reference!$A$6:$B$11,2,TRUE())*AC212))</f>
        <v/>
      </c>
      <c r="R212" s="16"/>
      <c r="S212" s="16"/>
      <c r="T212" s="16"/>
      <c r="U212" s="17" t="str">
        <f t="shared" si="24"/>
        <v/>
      </c>
      <c r="V212" s="17" t="str">
        <f t="shared" si="25"/>
        <v/>
      </c>
      <c r="W212" s="17" t="str">
        <f>IF(V212="","",VLOOKUP(MAX(V212,0),Reference!$A$17:$B$20,2,TRUE()))</f>
        <v/>
      </c>
      <c r="X212" s="16"/>
      <c r="Y212" s="16"/>
      <c r="Z212" s="16"/>
      <c r="AA212" s="17" t="str">
        <f t="shared" si="26"/>
        <v/>
      </c>
      <c r="AB212" s="17" t="str">
        <f t="shared" si="27"/>
        <v/>
      </c>
      <c r="AC212" s="17" t="str">
        <f>IF(AB212="","",VLOOKUP(MAX(AB212,0),Reference!$A$17:$B$20,2,TRUE()))</f>
        <v/>
      </c>
      <c r="AD212" s="16"/>
    </row>
    <row r="213" spans="1:30" x14ac:dyDescent="0.3">
      <c r="A213" s="19"/>
      <c r="B213" s="16"/>
      <c r="C213" s="16"/>
      <c r="D213" s="16"/>
      <c r="E213" s="18"/>
      <c r="F213" s="18"/>
      <c r="G213" s="15" t="str">
        <f t="shared" si="21"/>
        <v/>
      </c>
      <c r="H213" s="16"/>
      <c r="I213" s="17" t="str">
        <f>IF(H213&lt;&gt;"",H213,IF(G213="","",ROUND(G213*IFERROR(INDEX(Reference!$B$44:$B$50,MATCH(C213,Reference!$A$44:$A$50,0)),0),0)))</f>
        <v/>
      </c>
      <c r="J213" s="16"/>
      <c r="K213" s="16"/>
      <c r="L213" s="17" t="str">
        <f t="shared" si="22"/>
        <v/>
      </c>
      <c r="M213" s="17" t="str">
        <f>IFERROR(INDEX(Roster!$D$5:$D$40,MATCH(B213,Roster!$A$5:$A$40,0)),"")</f>
        <v/>
      </c>
      <c r="N213" s="17" t="str">
        <f t="shared" si="23"/>
        <v/>
      </c>
      <c r="O213" s="17" t="str">
        <f>IF(OR(C213="Bullpen",C213="Game"),IFERROR(INDEX(Reference!$B$61:$B$62,MATCH(C213,Reference!$A$61:$A$62,0)),""),IF(D213="","",VLOOKUP(D213,Reference!$A$6:$B$11,2,TRUE())))</f>
        <v/>
      </c>
      <c r="P213" s="17" t="str">
        <f>IF(N213="","",VLOOKUP(MAX(N213,0),Reference!$A$17:$B$20,2,TRUE()))</f>
        <v/>
      </c>
      <c r="Q213" s="17" t="str">
        <f>IF(AND(OR(I213="",O213="",P213=""),OR(R213="",W213=""),OR(X213="",AC213="")),"",IF(OR(I213="",O213="",P213=""),0,I213*O213*P213)+IF(OR(R213="",W213=""),0,R213*IFERROR(INDEX(Reference!$B$61:$B$62,MATCH("Bullpen",Reference!$A$61:$A$62,0)),0)*W213)+IF(OR(X213="",AC213=""),0,X213*VLOOKUP(60,Reference!$A$6:$B$11,2,TRUE())*AC213))</f>
        <v/>
      </c>
      <c r="R213" s="16"/>
      <c r="S213" s="16"/>
      <c r="T213" s="16"/>
      <c r="U213" s="17" t="str">
        <f t="shared" si="24"/>
        <v/>
      </c>
      <c r="V213" s="17" t="str">
        <f t="shared" si="25"/>
        <v/>
      </c>
      <c r="W213" s="17" t="str">
        <f>IF(V213="","",VLOOKUP(MAX(V213,0),Reference!$A$17:$B$20,2,TRUE()))</f>
        <v/>
      </c>
      <c r="X213" s="16"/>
      <c r="Y213" s="16"/>
      <c r="Z213" s="16"/>
      <c r="AA213" s="17" t="str">
        <f t="shared" si="26"/>
        <v/>
      </c>
      <c r="AB213" s="17" t="str">
        <f t="shared" si="27"/>
        <v/>
      </c>
      <c r="AC213" s="17" t="str">
        <f>IF(AB213="","",VLOOKUP(MAX(AB213,0),Reference!$A$17:$B$20,2,TRUE()))</f>
        <v/>
      </c>
      <c r="AD213" s="16"/>
    </row>
    <row r="214" spans="1:30" x14ac:dyDescent="0.3">
      <c r="A214" s="19"/>
      <c r="B214" s="16"/>
      <c r="C214" s="16"/>
      <c r="D214" s="16"/>
      <c r="E214" s="18"/>
      <c r="F214" s="18"/>
      <c r="G214" s="15" t="str">
        <f t="shared" si="21"/>
        <v/>
      </c>
      <c r="H214" s="16"/>
      <c r="I214" s="17" t="str">
        <f>IF(H214&lt;&gt;"",H214,IF(G214="","",ROUND(G214*IFERROR(INDEX(Reference!$B$44:$B$50,MATCH(C214,Reference!$A$44:$A$50,0)),0),0)))</f>
        <v/>
      </c>
      <c r="J214" s="16"/>
      <c r="K214" s="16"/>
      <c r="L214" s="17" t="str">
        <f t="shared" si="22"/>
        <v/>
      </c>
      <c r="M214" s="17" t="str">
        <f>IFERROR(INDEX(Roster!$D$5:$D$40,MATCH(B214,Roster!$A$5:$A$40,0)),"")</f>
        <v/>
      </c>
      <c r="N214" s="17" t="str">
        <f t="shared" si="23"/>
        <v/>
      </c>
      <c r="O214" s="17" t="str">
        <f>IF(OR(C214="Bullpen",C214="Game"),IFERROR(INDEX(Reference!$B$61:$B$62,MATCH(C214,Reference!$A$61:$A$62,0)),""),IF(D214="","",VLOOKUP(D214,Reference!$A$6:$B$11,2,TRUE())))</f>
        <v/>
      </c>
      <c r="P214" s="17" t="str">
        <f>IF(N214="","",VLOOKUP(MAX(N214,0),Reference!$A$17:$B$20,2,TRUE()))</f>
        <v/>
      </c>
      <c r="Q214" s="17" t="str">
        <f>IF(AND(OR(I214="",O214="",P214=""),OR(R214="",W214=""),OR(X214="",AC214="")),"",IF(OR(I214="",O214="",P214=""),0,I214*O214*P214)+IF(OR(R214="",W214=""),0,R214*IFERROR(INDEX(Reference!$B$61:$B$62,MATCH("Bullpen",Reference!$A$61:$A$62,0)),0)*W214)+IF(OR(X214="",AC214=""),0,X214*VLOOKUP(60,Reference!$A$6:$B$11,2,TRUE())*AC214))</f>
        <v/>
      </c>
      <c r="R214" s="16"/>
      <c r="S214" s="16"/>
      <c r="T214" s="16"/>
      <c r="U214" s="17" t="str">
        <f t="shared" si="24"/>
        <v/>
      </c>
      <c r="V214" s="17" t="str">
        <f t="shared" si="25"/>
        <v/>
      </c>
      <c r="W214" s="17" t="str">
        <f>IF(V214="","",VLOOKUP(MAX(V214,0),Reference!$A$17:$B$20,2,TRUE()))</f>
        <v/>
      </c>
      <c r="X214" s="16"/>
      <c r="Y214" s="16"/>
      <c r="Z214" s="16"/>
      <c r="AA214" s="17" t="str">
        <f t="shared" si="26"/>
        <v/>
      </c>
      <c r="AB214" s="17" t="str">
        <f t="shared" si="27"/>
        <v/>
      </c>
      <c r="AC214" s="17" t="str">
        <f>IF(AB214="","",VLOOKUP(MAX(AB214,0),Reference!$A$17:$B$20,2,TRUE()))</f>
        <v/>
      </c>
      <c r="AD214" s="16"/>
    </row>
    <row r="215" spans="1:30" x14ac:dyDescent="0.3">
      <c r="A215" s="19"/>
      <c r="B215" s="16"/>
      <c r="C215" s="16"/>
      <c r="D215" s="16"/>
      <c r="E215" s="18"/>
      <c r="F215" s="18"/>
      <c r="G215" s="15" t="str">
        <f t="shared" si="21"/>
        <v/>
      </c>
      <c r="H215" s="16"/>
      <c r="I215" s="17" t="str">
        <f>IF(H215&lt;&gt;"",H215,IF(G215="","",ROUND(G215*IFERROR(INDEX(Reference!$B$44:$B$50,MATCH(C215,Reference!$A$44:$A$50,0)),0),0)))</f>
        <v/>
      </c>
      <c r="J215" s="16"/>
      <c r="K215" s="16"/>
      <c r="L215" s="17" t="str">
        <f t="shared" si="22"/>
        <v/>
      </c>
      <c r="M215" s="17" t="str">
        <f>IFERROR(INDEX(Roster!$D$5:$D$40,MATCH(B215,Roster!$A$5:$A$40,0)),"")</f>
        <v/>
      </c>
      <c r="N215" s="17" t="str">
        <f t="shared" si="23"/>
        <v/>
      </c>
      <c r="O215" s="17" t="str">
        <f>IF(OR(C215="Bullpen",C215="Game"),IFERROR(INDEX(Reference!$B$61:$B$62,MATCH(C215,Reference!$A$61:$A$62,0)),""),IF(D215="","",VLOOKUP(D215,Reference!$A$6:$B$11,2,TRUE())))</f>
        <v/>
      </c>
      <c r="P215" s="17" t="str">
        <f>IF(N215="","",VLOOKUP(MAX(N215,0),Reference!$A$17:$B$20,2,TRUE()))</f>
        <v/>
      </c>
      <c r="Q215" s="17" t="str">
        <f>IF(AND(OR(I215="",O215="",P215=""),OR(R215="",W215=""),OR(X215="",AC215="")),"",IF(OR(I215="",O215="",P215=""),0,I215*O215*P215)+IF(OR(R215="",W215=""),0,R215*IFERROR(INDEX(Reference!$B$61:$B$62,MATCH("Bullpen",Reference!$A$61:$A$62,0)),0)*W215)+IF(OR(X215="",AC215=""),0,X215*VLOOKUP(60,Reference!$A$6:$B$11,2,TRUE())*AC215))</f>
        <v/>
      </c>
      <c r="R215" s="16"/>
      <c r="S215" s="16"/>
      <c r="T215" s="16"/>
      <c r="U215" s="17" t="str">
        <f t="shared" si="24"/>
        <v/>
      </c>
      <c r="V215" s="17" t="str">
        <f t="shared" si="25"/>
        <v/>
      </c>
      <c r="W215" s="17" t="str">
        <f>IF(V215="","",VLOOKUP(MAX(V215,0),Reference!$A$17:$B$20,2,TRUE()))</f>
        <v/>
      </c>
      <c r="X215" s="16"/>
      <c r="Y215" s="16"/>
      <c r="Z215" s="16"/>
      <c r="AA215" s="17" t="str">
        <f t="shared" si="26"/>
        <v/>
      </c>
      <c r="AB215" s="17" t="str">
        <f t="shared" si="27"/>
        <v/>
      </c>
      <c r="AC215" s="17" t="str">
        <f>IF(AB215="","",VLOOKUP(MAX(AB215,0),Reference!$A$17:$B$20,2,TRUE()))</f>
        <v/>
      </c>
      <c r="AD215" s="16"/>
    </row>
    <row r="216" spans="1:30" x14ac:dyDescent="0.3">
      <c r="A216" s="19"/>
      <c r="B216" s="16"/>
      <c r="C216" s="16"/>
      <c r="D216" s="16"/>
      <c r="E216" s="18"/>
      <c r="F216" s="18"/>
      <c r="G216" s="15" t="str">
        <f t="shared" si="21"/>
        <v/>
      </c>
      <c r="H216" s="16"/>
      <c r="I216" s="17" t="str">
        <f>IF(H216&lt;&gt;"",H216,IF(G216="","",ROUND(G216*IFERROR(INDEX(Reference!$B$44:$B$50,MATCH(C216,Reference!$A$44:$A$50,0)),0),0)))</f>
        <v/>
      </c>
      <c r="J216" s="16"/>
      <c r="K216" s="16"/>
      <c r="L216" s="17" t="str">
        <f t="shared" si="22"/>
        <v/>
      </c>
      <c r="M216" s="17" t="str">
        <f>IFERROR(INDEX(Roster!$D$5:$D$40,MATCH(B216,Roster!$A$5:$A$40,0)),"")</f>
        <v/>
      </c>
      <c r="N216" s="17" t="str">
        <f t="shared" si="23"/>
        <v/>
      </c>
      <c r="O216" s="17" t="str">
        <f>IF(OR(C216="Bullpen",C216="Game"),IFERROR(INDEX(Reference!$B$61:$B$62,MATCH(C216,Reference!$A$61:$A$62,0)),""),IF(D216="","",VLOOKUP(D216,Reference!$A$6:$B$11,2,TRUE())))</f>
        <v/>
      </c>
      <c r="P216" s="17" t="str">
        <f>IF(N216="","",VLOOKUP(MAX(N216,0),Reference!$A$17:$B$20,2,TRUE()))</f>
        <v/>
      </c>
      <c r="Q216" s="17" t="str">
        <f>IF(AND(OR(I216="",O216="",P216=""),OR(R216="",W216=""),OR(X216="",AC216="")),"",IF(OR(I216="",O216="",P216=""),0,I216*O216*P216)+IF(OR(R216="",W216=""),0,R216*IFERROR(INDEX(Reference!$B$61:$B$62,MATCH("Bullpen",Reference!$A$61:$A$62,0)),0)*W216)+IF(OR(X216="",AC216=""),0,X216*VLOOKUP(60,Reference!$A$6:$B$11,2,TRUE())*AC216))</f>
        <v/>
      </c>
      <c r="R216" s="16"/>
      <c r="S216" s="16"/>
      <c r="T216" s="16"/>
      <c r="U216" s="17" t="str">
        <f t="shared" si="24"/>
        <v/>
      </c>
      <c r="V216" s="17" t="str">
        <f t="shared" si="25"/>
        <v/>
      </c>
      <c r="W216" s="17" t="str">
        <f>IF(V216="","",VLOOKUP(MAX(V216,0),Reference!$A$17:$B$20,2,TRUE()))</f>
        <v/>
      </c>
      <c r="X216" s="16"/>
      <c r="Y216" s="16"/>
      <c r="Z216" s="16"/>
      <c r="AA216" s="17" t="str">
        <f t="shared" si="26"/>
        <v/>
      </c>
      <c r="AB216" s="17" t="str">
        <f t="shared" si="27"/>
        <v/>
      </c>
      <c r="AC216" s="17" t="str">
        <f>IF(AB216="","",VLOOKUP(MAX(AB216,0),Reference!$A$17:$B$20,2,TRUE()))</f>
        <v/>
      </c>
      <c r="AD216" s="16"/>
    </row>
    <row r="217" spans="1:30" x14ac:dyDescent="0.3">
      <c r="A217" s="19"/>
      <c r="B217" s="16"/>
      <c r="C217" s="16"/>
      <c r="D217" s="16"/>
      <c r="E217" s="18"/>
      <c r="F217" s="18"/>
      <c r="G217" s="15" t="str">
        <f t="shared" si="21"/>
        <v/>
      </c>
      <c r="H217" s="16"/>
      <c r="I217" s="17" t="str">
        <f>IF(H217&lt;&gt;"",H217,IF(G217="","",ROUND(G217*IFERROR(INDEX(Reference!$B$44:$B$50,MATCH(C217,Reference!$A$44:$A$50,0)),0),0)))</f>
        <v/>
      </c>
      <c r="J217" s="16"/>
      <c r="K217" s="16"/>
      <c r="L217" s="17" t="str">
        <f t="shared" si="22"/>
        <v/>
      </c>
      <c r="M217" s="17" t="str">
        <f>IFERROR(INDEX(Roster!$D$5:$D$40,MATCH(B217,Roster!$A$5:$A$40,0)),"")</f>
        <v/>
      </c>
      <c r="N217" s="17" t="str">
        <f t="shared" si="23"/>
        <v/>
      </c>
      <c r="O217" s="17" t="str">
        <f>IF(OR(C217="Bullpen",C217="Game"),IFERROR(INDEX(Reference!$B$61:$B$62,MATCH(C217,Reference!$A$61:$A$62,0)),""),IF(D217="","",VLOOKUP(D217,Reference!$A$6:$B$11,2,TRUE())))</f>
        <v/>
      </c>
      <c r="P217" s="17" t="str">
        <f>IF(N217="","",VLOOKUP(MAX(N217,0),Reference!$A$17:$B$20,2,TRUE()))</f>
        <v/>
      </c>
      <c r="Q217" s="17" t="str">
        <f>IF(AND(OR(I217="",O217="",P217=""),OR(R217="",W217=""),OR(X217="",AC217="")),"",IF(OR(I217="",O217="",P217=""),0,I217*O217*P217)+IF(OR(R217="",W217=""),0,R217*IFERROR(INDEX(Reference!$B$61:$B$62,MATCH("Bullpen",Reference!$A$61:$A$62,0)),0)*W217)+IF(OR(X217="",AC217=""),0,X217*VLOOKUP(60,Reference!$A$6:$B$11,2,TRUE())*AC217))</f>
        <v/>
      </c>
      <c r="R217" s="16"/>
      <c r="S217" s="16"/>
      <c r="T217" s="16"/>
      <c r="U217" s="17" t="str">
        <f t="shared" si="24"/>
        <v/>
      </c>
      <c r="V217" s="17" t="str">
        <f t="shared" si="25"/>
        <v/>
      </c>
      <c r="W217" s="17" t="str">
        <f>IF(V217="","",VLOOKUP(MAX(V217,0),Reference!$A$17:$B$20,2,TRUE()))</f>
        <v/>
      </c>
      <c r="X217" s="16"/>
      <c r="Y217" s="16"/>
      <c r="Z217" s="16"/>
      <c r="AA217" s="17" t="str">
        <f t="shared" si="26"/>
        <v/>
      </c>
      <c r="AB217" s="17" t="str">
        <f t="shared" si="27"/>
        <v/>
      </c>
      <c r="AC217" s="17" t="str">
        <f>IF(AB217="","",VLOOKUP(MAX(AB217,0),Reference!$A$17:$B$20,2,TRUE()))</f>
        <v/>
      </c>
      <c r="AD217" s="16"/>
    </row>
    <row r="218" spans="1:30" x14ac:dyDescent="0.3">
      <c r="A218" s="19"/>
      <c r="B218" s="16"/>
      <c r="C218" s="16"/>
      <c r="D218" s="16"/>
      <c r="E218" s="18"/>
      <c r="F218" s="18"/>
      <c r="G218" s="15" t="str">
        <f t="shared" si="21"/>
        <v/>
      </c>
      <c r="H218" s="16"/>
      <c r="I218" s="17" t="str">
        <f>IF(H218&lt;&gt;"",H218,IF(G218="","",ROUND(G218*IFERROR(INDEX(Reference!$B$44:$B$50,MATCH(C218,Reference!$A$44:$A$50,0)),0),0)))</f>
        <v/>
      </c>
      <c r="J218" s="16"/>
      <c r="K218" s="16"/>
      <c r="L218" s="17" t="str">
        <f t="shared" si="22"/>
        <v/>
      </c>
      <c r="M218" s="17" t="str">
        <f>IFERROR(INDEX(Roster!$D$5:$D$40,MATCH(B218,Roster!$A$5:$A$40,0)),"")</f>
        <v/>
      </c>
      <c r="N218" s="17" t="str">
        <f t="shared" si="23"/>
        <v/>
      </c>
      <c r="O218" s="17" t="str">
        <f>IF(OR(C218="Bullpen",C218="Game"),IFERROR(INDEX(Reference!$B$61:$B$62,MATCH(C218,Reference!$A$61:$A$62,0)),""),IF(D218="","",VLOOKUP(D218,Reference!$A$6:$B$11,2,TRUE())))</f>
        <v/>
      </c>
      <c r="P218" s="17" t="str">
        <f>IF(N218="","",VLOOKUP(MAX(N218,0),Reference!$A$17:$B$20,2,TRUE()))</f>
        <v/>
      </c>
      <c r="Q218" s="17" t="str">
        <f>IF(AND(OR(I218="",O218="",P218=""),OR(R218="",W218=""),OR(X218="",AC218="")),"",IF(OR(I218="",O218="",P218=""),0,I218*O218*P218)+IF(OR(R218="",W218=""),0,R218*IFERROR(INDEX(Reference!$B$61:$B$62,MATCH("Bullpen",Reference!$A$61:$A$62,0)),0)*W218)+IF(OR(X218="",AC218=""),0,X218*VLOOKUP(60,Reference!$A$6:$B$11,2,TRUE())*AC218))</f>
        <v/>
      </c>
      <c r="R218" s="16"/>
      <c r="S218" s="16"/>
      <c r="T218" s="16"/>
      <c r="U218" s="17" t="str">
        <f t="shared" si="24"/>
        <v/>
      </c>
      <c r="V218" s="17" t="str">
        <f t="shared" si="25"/>
        <v/>
      </c>
      <c r="W218" s="17" t="str">
        <f>IF(V218="","",VLOOKUP(MAX(V218,0),Reference!$A$17:$B$20,2,TRUE()))</f>
        <v/>
      </c>
      <c r="X218" s="16"/>
      <c r="Y218" s="16"/>
      <c r="Z218" s="16"/>
      <c r="AA218" s="17" t="str">
        <f t="shared" si="26"/>
        <v/>
      </c>
      <c r="AB218" s="17" t="str">
        <f t="shared" si="27"/>
        <v/>
      </c>
      <c r="AC218" s="17" t="str">
        <f>IF(AB218="","",VLOOKUP(MAX(AB218,0),Reference!$A$17:$B$20,2,TRUE()))</f>
        <v/>
      </c>
      <c r="AD218" s="16"/>
    </row>
    <row r="219" spans="1:30" x14ac:dyDescent="0.3">
      <c r="A219" s="19"/>
      <c r="B219" s="16"/>
      <c r="C219" s="16"/>
      <c r="D219" s="16"/>
      <c r="E219" s="18"/>
      <c r="F219" s="18"/>
      <c r="G219" s="15" t="str">
        <f t="shared" si="21"/>
        <v/>
      </c>
      <c r="H219" s="16"/>
      <c r="I219" s="17" t="str">
        <f>IF(H219&lt;&gt;"",H219,IF(G219="","",ROUND(G219*IFERROR(INDEX(Reference!$B$44:$B$50,MATCH(C219,Reference!$A$44:$A$50,0)),0),0)))</f>
        <v/>
      </c>
      <c r="J219" s="16"/>
      <c r="K219" s="16"/>
      <c r="L219" s="17" t="str">
        <f t="shared" si="22"/>
        <v/>
      </c>
      <c r="M219" s="17" t="str">
        <f>IFERROR(INDEX(Roster!$D$5:$D$40,MATCH(B219,Roster!$A$5:$A$40,0)),"")</f>
        <v/>
      </c>
      <c r="N219" s="17" t="str">
        <f t="shared" si="23"/>
        <v/>
      </c>
      <c r="O219" s="17" t="str">
        <f>IF(OR(C219="Bullpen",C219="Game"),IFERROR(INDEX(Reference!$B$61:$B$62,MATCH(C219,Reference!$A$61:$A$62,0)),""),IF(D219="","",VLOOKUP(D219,Reference!$A$6:$B$11,2,TRUE())))</f>
        <v/>
      </c>
      <c r="P219" s="17" t="str">
        <f>IF(N219="","",VLOOKUP(MAX(N219,0),Reference!$A$17:$B$20,2,TRUE()))</f>
        <v/>
      </c>
      <c r="Q219" s="17" t="str">
        <f>IF(AND(OR(I219="",O219="",P219=""),OR(R219="",W219=""),OR(X219="",AC219="")),"",IF(OR(I219="",O219="",P219=""),0,I219*O219*P219)+IF(OR(R219="",W219=""),0,R219*IFERROR(INDEX(Reference!$B$61:$B$62,MATCH("Bullpen",Reference!$A$61:$A$62,0)),0)*W219)+IF(OR(X219="",AC219=""),0,X219*VLOOKUP(60,Reference!$A$6:$B$11,2,TRUE())*AC219))</f>
        <v/>
      </c>
      <c r="R219" s="16"/>
      <c r="S219" s="16"/>
      <c r="T219" s="16"/>
      <c r="U219" s="17" t="str">
        <f t="shared" si="24"/>
        <v/>
      </c>
      <c r="V219" s="17" t="str">
        <f t="shared" si="25"/>
        <v/>
      </c>
      <c r="W219" s="17" t="str">
        <f>IF(V219="","",VLOOKUP(MAX(V219,0),Reference!$A$17:$B$20,2,TRUE()))</f>
        <v/>
      </c>
      <c r="X219" s="16"/>
      <c r="Y219" s="16"/>
      <c r="Z219" s="16"/>
      <c r="AA219" s="17" t="str">
        <f t="shared" si="26"/>
        <v/>
      </c>
      <c r="AB219" s="17" t="str">
        <f t="shared" si="27"/>
        <v/>
      </c>
      <c r="AC219" s="17" t="str">
        <f>IF(AB219="","",VLOOKUP(MAX(AB219,0),Reference!$A$17:$B$20,2,TRUE()))</f>
        <v/>
      </c>
      <c r="AD219" s="16"/>
    </row>
    <row r="220" spans="1:30" x14ac:dyDescent="0.3">
      <c r="A220" s="19"/>
      <c r="B220" s="16"/>
      <c r="C220" s="16"/>
      <c r="D220" s="16"/>
      <c r="E220" s="18"/>
      <c r="F220" s="18"/>
      <c r="G220" s="15" t="str">
        <f t="shared" si="21"/>
        <v/>
      </c>
      <c r="H220" s="16"/>
      <c r="I220" s="17" t="str">
        <f>IF(H220&lt;&gt;"",H220,IF(G220="","",ROUND(G220*IFERROR(INDEX(Reference!$B$44:$B$50,MATCH(C220,Reference!$A$44:$A$50,0)),0),0)))</f>
        <v/>
      </c>
      <c r="J220" s="16"/>
      <c r="K220" s="16"/>
      <c r="L220" s="17" t="str">
        <f t="shared" si="22"/>
        <v/>
      </c>
      <c r="M220" s="17" t="str">
        <f>IFERROR(INDEX(Roster!$D$5:$D$40,MATCH(B220,Roster!$A$5:$A$40,0)),"")</f>
        <v/>
      </c>
      <c r="N220" s="17" t="str">
        <f t="shared" si="23"/>
        <v/>
      </c>
      <c r="O220" s="17" t="str">
        <f>IF(OR(C220="Bullpen",C220="Game"),IFERROR(INDEX(Reference!$B$61:$B$62,MATCH(C220,Reference!$A$61:$A$62,0)),""),IF(D220="","",VLOOKUP(D220,Reference!$A$6:$B$11,2,TRUE())))</f>
        <v/>
      </c>
      <c r="P220" s="17" t="str">
        <f>IF(N220="","",VLOOKUP(MAX(N220,0),Reference!$A$17:$B$20,2,TRUE()))</f>
        <v/>
      </c>
      <c r="Q220" s="17" t="str">
        <f>IF(AND(OR(I220="",O220="",P220=""),OR(R220="",W220=""),OR(X220="",AC220="")),"",IF(OR(I220="",O220="",P220=""),0,I220*O220*P220)+IF(OR(R220="",W220=""),0,R220*IFERROR(INDEX(Reference!$B$61:$B$62,MATCH("Bullpen",Reference!$A$61:$A$62,0)),0)*W220)+IF(OR(X220="",AC220=""),0,X220*VLOOKUP(60,Reference!$A$6:$B$11,2,TRUE())*AC220))</f>
        <v/>
      </c>
      <c r="R220" s="16"/>
      <c r="S220" s="16"/>
      <c r="T220" s="16"/>
      <c r="U220" s="17" t="str">
        <f t="shared" si="24"/>
        <v/>
      </c>
      <c r="V220" s="17" t="str">
        <f t="shared" si="25"/>
        <v/>
      </c>
      <c r="W220" s="17" t="str">
        <f>IF(V220="","",VLOOKUP(MAX(V220,0),Reference!$A$17:$B$20,2,TRUE()))</f>
        <v/>
      </c>
      <c r="X220" s="16"/>
      <c r="Y220" s="16"/>
      <c r="Z220" s="16"/>
      <c r="AA220" s="17" t="str">
        <f t="shared" si="26"/>
        <v/>
      </c>
      <c r="AB220" s="17" t="str">
        <f t="shared" si="27"/>
        <v/>
      </c>
      <c r="AC220" s="17" t="str">
        <f>IF(AB220="","",VLOOKUP(MAX(AB220,0),Reference!$A$17:$B$20,2,TRUE()))</f>
        <v/>
      </c>
      <c r="AD220" s="16"/>
    </row>
    <row r="221" spans="1:30" x14ac:dyDescent="0.3">
      <c r="A221" s="19"/>
      <c r="B221" s="16"/>
      <c r="C221" s="16"/>
      <c r="D221" s="16"/>
      <c r="E221" s="18"/>
      <c r="F221" s="18"/>
      <c r="G221" s="15" t="str">
        <f t="shared" si="21"/>
        <v/>
      </c>
      <c r="H221" s="16"/>
      <c r="I221" s="17" t="str">
        <f>IF(H221&lt;&gt;"",H221,IF(G221="","",ROUND(G221*IFERROR(INDEX(Reference!$B$44:$B$50,MATCH(C221,Reference!$A$44:$A$50,0)),0),0)))</f>
        <v/>
      </c>
      <c r="J221" s="16"/>
      <c r="K221" s="16"/>
      <c r="L221" s="17" t="str">
        <f t="shared" si="22"/>
        <v/>
      </c>
      <c r="M221" s="17" t="str">
        <f>IFERROR(INDEX(Roster!$D$5:$D$40,MATCH(B221,Roster!$A$5:$A$40,0)),"")</f>
        <v/>
      </c>
      <c r="N221" s="17" t="str">
        <f t="shared" si="23"/>
        <v/>
      </c>
      <c r="O221" s="17" t="str">
        <f>IF(OR(C221="Bullpen",C221="Game"),IFERROR(INDEX(Reference!$B$61:$B$62,MATCH(C221,Reference!$A$61:$A$62,0)),""),IF(D221="","",VLOOKUP(D221,Reference!$A$6:$B$11,2,TRUE())))</f>
        <v/>
      </c>
      <c r="P221" s="17" t="str">
        <f>IF(N221="","",VLOOKUP(MAX(N221,0),Reference!$A$17:$B$20,2,TRUE()))</f>
        <v/>
      </c>
      <c r="Q221" s="17" t="str">
        <f>IF(AND(OR(I221="",O221="",P221=""),OR(R221="",W221=""),OR(X221="",AC221="")),"",IF(OR(I221="",O221="",P221=""),0,I221*O221*P221)+IF(OR(R221="",W221=""),0,R221*IFERROR(INDEX(Reference!$B$61:$B$62,MATCH("Bullpen",Reference!$A$61:$A$62,0)),0)*W221)+IF(OR(X221="",AC221=""),0,X221*VLOOKUP(60,Reference!$A$6:$B$11,2,TRUE())*AC221))</f>
        <v/>
      </c>
      <c r="R221" s="16"/>
      <c r="S221" s="16"/>
      <c r="T221" s="16"/>
      <c r="U221" s="17" t="str">
        <f t="shared" si="24"/>
        <v/>
      </c>
      <c r="V221" s="17" t="str">
        <f t="shared" si="25"/>
        <v/>
      </c>
      <c r="W221" s="17" t="str">
        <f>IF(V221="","",VLOOKUP(MAX(V221,0),Reference!$A$17:$B$20,2,TRUE()))</f>
        <v/>
      </c>
      <c r="X221" s="16"/>
      <c r="Y221" s="16"/>
      <c r="Z221" s="16"/>
      <c r="AA221" s="17" t="str">
        <f t="shared" si="26"/>
        <v/>
      </c>
      <c r="AB221" s="17" t="str">
        <f t="shared" si="27"/>
        <v/>
      </c>
      <c r="AC221" s="17" t="str">
        <f>IF(AB221="","",VLOOKUP(MAX(AB221,0),Reference!$A$17:$B$20,2,TRUE()))</f>
        <v/>
      </c>
      <c r="AD221" s="16"/>
    </row>
    <row r="222" spans="1:30" x14ac:dyDescent="0.3">
      <c r="A222" s="19"/>
      <c r="B222" s="16"/>
      <c r="C222" s="16"/>
      <c r="D222" s="16"/>
      <c r="E222" s="18"/>
      <c r="F222" s="18"/>
      <c r="G222" s="15" t="str">
        <f t="shared" si="21"/>
        <v/>
      </c>
      <c r="H222" s="16"/>
      <c r="I222" s="17" t="str">
        <f>IF(H222&lt;&gt;"",H222,IF(G222="","",ROUND(G222*IFERROR(INDEX(Reference!$B$44:$B$50,MATCH(C222,Reference!$A$44:$A$50,0)),0),0)))</f>
        <v/>
      </c>
      <c r="J222" s="16"/>
      <c r="K222" s="16"/>
      <c r="L222" s="17" t="str">
        <f t="shared" si="22"/>
        <v/>
      </c>
      <c r="M222" s="17" t="str">
        <f>IFERROR(INDEX(Roster!$D$5:$D$40,MATCH(B222,Roster!$A$5:$A$40,0)),"")</f>
        <v/>
      </c>
      <c r="N222" s="17" t="str">
        <f t="shared" si="23"/>
        <v/>
      </c>
      <c r="O222" s="17" t="str">
        <f>IF(OR(C222="Bullpen",C222="Game"),IFERROR(INDEX(Reference!$B$61:$B$62,MATCH(C222,Reference!$A$61:$A$62,0)),""),IF(D222="","",VLOOKUP(D222,Reference!$A$6:$B$11,2,TRUE())))</f>
        <v/>
      </c>
      <c r="P222" s="17" t="str">
        <f>IF(N222="","",VLOOKUP(MAX(N222,0),Reference!$A$17:$B$20,2,TRUE()))</f>
        <v/>
      </c>
      <c r="Q222" s="17" t="str">
        <f>IF(AND(OR(I222="",O222="",P222=""),OR(R222="",W222=""),OR(X222="",AC222="")),"",IF(OR(I222="",O222="",P222=""),0,I222*O222*P222)+IF(OR(R222="",W222=""),0,R222*IFERROR(INDEX(Reference!$B$61:$B$62,MATCH("Bullpen",Reference!$A$61:$A$62,0)),0)*W222)+IF(OR(X222="",AC222=""),0,X222*VLOOKUP(60,Reference!$A$6:$B$11,2,TRUE())*AC222))</f>
        <v/>
      </c>
      <c r="R222" s="16"/>
      <c r="S222" s="16"/>
      <c r="T222" s="16"/>
      <c r="U222" s="17" t="str">
        <f t="shared" si="24"/>
        <v/>
      </c>
      <c r="V222" s="17" t="str">
        <f t="shared" si="25"/>
        <v/>
      </c>
      <c r="W222" s="17" t="str">
        <f>IF(V222="","",VLOOKUP(MAX(V222,0),Reference!$A$17:$B$20,2,TRUE()))</f>
        <v/>
      </c>
      <c r="X222" s="16"/>
      <c r="Y222" s="16"/>
      <c r="Z222" s="16"/>
      <c r="AA222" s="17" t="str">
        <f t="shared" si="26"/>
        <v/>
      </c>
      <c r="AB222" s="17" t="str">
        <f t="shared" si="27"/>
        <v/>
      </c>
      <c r="AC222" s="17" t="str">
        <f>IF(AB222="","",VLOOKUP(MAX(AB222,0),Reference!$A$17:$B$20,2,TRUE()))</f>
        <v/>
      </c>
      <c r="AD222" s="16"/>
    </row>
    <row r="223" spans="1:30" x14ac:dyDescent="0.3">
      <c r="A223" s="19"/>
      <c r="B223" s="16"/>
      <c r="C223" s="16"/>
      <c r="D223" s="16"/>
      <c r="E223" s="18"/>
      <c r="F223" s="18"/>
      <c r="G223" s="15" t="str">
        <f t="shared" si="21"/>
        <v/>
      </c>
      <c r="H223" s="16"/>
      <c r="I223" s="17" t="str">
        <f>IF(H223&lt;&gt;"",H223,IF(G223="","",ROUND(G223*IFERROR(INDEX(Reference!$B$44:$B$50,MATCH(C223,Reference!$A$44:$A$50,0)),0),0)))</f>
        <v/>
      </c>
      <c r="J223" s="16"/>
      <c r="K223" s="16"/>
      <c r="L223" s="17" t="str">
        <f t="shared" si="22"/>
        <v/>
      </c>
      <c r="M223" s="17" t="str">
        <f>IFERROR(INDEX(Roster!$D$5:$D$40,MATCH(B223,Roster!$A$5:$A$40,0)),"")</f>
        <v/>
      </c>
      <c r="N223" s="17" t="str">
        <f t="shared" si="23"/>
        <v/>
      </c>
      <c r="O223" s="17" t="str">
        <f>IF(OR(C223="Bullpen",C223="Game"),IFERROR(INDEX(Reference!$B$61:$B$62,MATCH(C223,Reference!$A$61:$A$62,0)),""),IF(D223="","",VLOOKUP(D223,Reference!$A$6:$B$11,2,TRUE())))</f>
        <v/>
      </c>
      <c r="P223" s="17" t="str">
        <f>IF(N223="","",VLOOKUP(MAX(N223,0),Reference!$A$17:$B$20,2,TRUE()))</f>
        <v/>
      </c>
      <c r="Q223" s="17" t="str">
        <f>IF(AND(OR(I223="",O223="",P223=""),OR(R223="",W223=""),OR(X223="",AC223="")),"",IF(OR(I223="",O223="",P223=""),0,I223*O223*P223)+IF(OR(R223="",W223=""),0,R223*IFERROR(INDEX(Reference!$B$61:$B$62,MATCH("Bullpen",Reference!$A$61:$A$62,0)),0)*W223)+IF(OR(X223="",AC223=""),0,X223*VLOOKUP(60,Reference!$A$6:$B$11,2,TRUE())*AC223))</f>
        <v/>
      </c>
      <c r="R223" s="16"/>
      <c r="S223" s="16"/>
      <c r="T223" s="16"/>
      <c r="U223" s="17" t="str">
        <f t="shared" si="24"/>
        <v/>
      </c>
      <c r="V223" s="17" t="str">
        <f t="shared" si="25"/>
        <v/>
      </c>
      <c r="W223" s="17" t="str">
        <f>IF(V223="","",VLOOKUP(MAX(V223,0),Reference!$A$17:$B$20,2,TRUE()))</f>
        <v/>
      </c>
      <c r="X223" s="16"/>
      <c r="Y223" s="16"/>
      <c r="Z223" s="16"/>
      <c r="AA223" s="17" t="str">
        <f t="shared" si="26"/>
        <v/>
      </c>
      <c r="AB223" s="17" t="str">
        <f t="shared" si="27"/>
        <v/>
      </c>
      <c r="AC223" s="17" t="str">
        <f>IF(AB223="","",VLOOKUP(MAX(AB223,0),Reference!$A$17:$B$20,2,TRUE()))</f>
        <v/>
      </c>
      <c r="AD223" s="16"/>
    </row>
    <row r="224" spans="1:30" x14ac:dyDescent="0.3">
      <c r="A224" s="19"/>
      <c r="B224" s="16"/>
      <c r="C224" s="16"/>
      <c r="D224" s="16"/>
      <c r="E224" s="18"/>
      <c r="F224" s="18"/>
      <c r="G224" s="15" t="str">
        <f t="shared" si="21"/>
        <v/>
      </c>
      <c r="H224" s="16"/>
      <c r="I224" s="17" t="str">
        <f>IF(H224&lt;&gt;"",H224,IF(G224="","",ROUND(G224*IFERROR(INDEX(Reference!$B$44:$B$50,MATCH(C224,Reference!$A$44:$A$50,0)),0),0)))</f>
        <v/>
      </c>
      <c r="J224" s="16"/>
      <c r="K224" s="16"/>
      <c r="L224" s="17" t="str">
        <f t="shared" si="22"/>
        <v/>
      </c>
      <c r="M224" s="17" t="str">
        <f>IFERROR(INDEX(Roster!$D$5:$D$40,MATCH(B224,Roster!$A$5:$A$40,0)),"")</f>
        <v/>
      </c>
      <c r="N224" s="17" t="str">
        <f t="shared" si="23"/>
        <v/>
      </c>
      <c r="O224" s="17" t="str">
        <f>IF(OR(C224="Bullpen",C224="Game"),IFERROR(INDEX(Reference!$B$61:$B$62,MATCH(C224,Reference!$A$61:$A$62,0)),""),IF(D224="","",VLOOKUP(D224,Reference!$A$6:$B$11,2,TRUE())))</f>
        <v/>
      </c>
      <c r="P224" s="17" t="str">
        <f>IF(N224="","",VLOOKUP(MAX(N224,0),Reference!$A$17:$B$20,2,TRUE()))</f>
        <v/>
      </c>
      <c r="Q224" s="17" t="str">
        <f>IF(AND(OR(I224="",O224="",P224=""),OR(R224="",W224=""),OR(X224="",AC224="")),"",IF(OR(I224="",O224="",P224=""),0,I224*O224*P224)+IF(OR(R224="",W224=""),0,R224*IFERROR(INDEX(Reference!$B$61:$B$62,MATCH("Bullpen",Reference!$A$61:$A$62,0)),0)*W224)+IF(OR(X224="",AC224=""),0,X224*VLOOKUP(60,Reference!$A$6:$B$11,2,TRUE())*AC224))</f>
        <v/>
      </c>
      <c r="R224" s="16"/>
      <c r="S224" s="16"/>
      <c r="T224" s="16"/>
      <c r="U224" s="17" t="str">
        <f t="shared" si="24"/>
        <v/>
      </c>
      <c r="V224" s="17" t="str">
        <f t="shared" si="25"/>
        <v/>
      </c>
      <c r="W224" s="17" t="str">
        <f>IF(V224="","",VLOOKUP(MAX(V224,0),Reference!$A$17:$B$20,2,TRUE()))</f>
        <v/>
      </c>
      <c r="X224" s="16"/>
      <c r="Y224" s="16"/>
      <c r="Z224" s="16"/>
      <c r="AA224" s="17" t="str">
        <f t="shared" si="26"/>
        <v/>
      </c>
      <c r="AB224" s="17" t="str">
        <f t="shared" si="27"/>
        <v/>
      </c>
      <c r="AC224" s="17" t="str">
        <f>IF(AB224="","",VLOOKUP(MAX(AB224,0),Reference!$A$17:$B$20,2,TRUE()))</f>
        <v/>
      </c>
      <c r="AD224" s="16"/>
    </row>
    <row r="225" spans="1:30" x14ac:dyDescent="0.3">
      <c r="A225" s="19"/>
      <c r="B225" s="16"/>
      <c r="C225" s="16"/>
      <c r="D225" s="16"/>
      <c r="E225" s="18"/>
      <c r="F225" s="18"/>
      <c r="G225" s="15" t="str">
        <f t="shared" si="21"/>
        <v/>
      </c>
      <c r="H225" s="16"/>
      <c r="I225" s="17" t="str">
        <f>IF(H225&lt;&gt;"",H225,IF(G225="","",ROUND(G225*IFERROR(INDEX(Reference!$B$44:$B$50,MATCH(C225,Reference!$A$44:$A$50,0)),0),0)))</f>
        <v/>
      </c>
      <c r="J225" s="16"/>
      <c r="K225" s="16"/>
      <c r="L225" s="17" t="str">
        <f t="shared" si="22"/>
        <v/>
      </c>
      <c r="M225" s="17" t="str">
        <f>IFERROR(INDEX(Roster!$D$5:$D$40,MATCH(B225,Roster!$A$5:$A$40,0)),"")</f>
        <v/>
      </c>
      <c r="N225" s="17" t="str">
        <f t="shared" si="23"/>
        <v/>
      </c>
      <c r="O225" s="17" t="str">
        <f>IF(OR(C225="Bullpen",C225="Game"),IFERROR(INDEX(Reference!$B$61:$B$62,MATCH(C225,Reference!$A$61:$A$62,0)),""),IF(D225="","",VLOOKUP(D225,Reference!$A$6:$B$11,2,TRUE())))</f>
        <v/>
      </c>
      <c r="P225" s="17" t="str">
        <f>IF(N225="","",VLOOKUP(MAX(N225,0),Reference!$A$17:$B$20,2,TRUE()))</f>
        <v/>
      </c>
      <c r="Q225" s="17" t="str">
        <f>IF(AND(OR(I225="",O225="",P225=""),OR(R225="",W225=""),OR(X225="",AC225="")),"",IF(OR(I225="",O225="",P225=""),0,I225*O225*P225)+IF(OR(R225="",W225=""),0,R225*IFERROR(INDEX(Reference!$B$61:$B$62,MATCH("Bullpen",Reference!$A$61:$A$62,0)),0)*W225)+IF(OR(X225="",AC225=""),0,X225*VLOOKUP(60,Reference!$A$6:$B$11,2,TRUE())*AC225))</f>
        <v/>
      </c>
      <c r="R225" s="16"/>
      <c r="S225" s="16"/>
      <c r="T225" s="16"/>
      <c r="U225" s="17" t="str">
        <f t="shared" si="24"/>
        <v/>
      </c>
      <c r="V225" s="17" t="str">
        <f t="shared" si="25"/>
        <v/>
      </c>
      <c r="W225" s="17" t="str">
        <f>IF(V225="","",VLOOKUP(MAX(V225,0),Reference!$A$17:$B$20,2,TRUE()))</f>
        <v/>
      </c>
      <c r="X225" s="16"/>
      <c r="Y225" s="16"/>
      <c r="Z225" s="16"/>
      <c r="AA225" s="17" t="str">
        <f t="shared" si="26"/>
        <v/>
      </c>
      <c r="AB225" s="17" t="str">
        <f t="shared" si="27"/>
        <v/>
      </c>
      <c r="AC225" s="17" t="str">
        <f>IF(AB225="","",VLOOKUP(MAX(AB225,0),Reference!$A$17:$B$20,2,TRUE()))</f>
        <v/>
      </c>
      <c r="AD225" s="16"/>
    </row>
    <row r="226" spans="1:30" x14ac:dyDescent="0.3">
      <c r="A226" s="19"/>
      <c r="B226" s="16"/>
      <c r="C226" s="16"/>
      <c r="D226" s="16"/>
      <c r="E226" s="18"/>
      <c r="F226" s="18"/>
      <c r="G226" s="15" t="str">
        <f t="shared" si="21"/>
        <v/>
      </c>
      <c r="H226" s="16"/>
      <c r="I226" s="17" t="str">
        <f>IF(H226&lt;&gt;"",H226,IF(G226="","",ROUND(G226*IFERROR(INDEX(Reference!$B$44:$B$50,MATCH(C226,Reference!$A$44:$A$50,0)),0),0)))</f>
        <v/>
      </c>
      <c r="J226" s="16"/>
      <c r="K226" s="16"/>
      <c r="L226" s="17" t="str">
        <f t="shared" si="22"/>
        <v/>
      </c>
      <c r="M226" s="17" t="str">
        <f>IFERROR(INDEX(Roster!$D$5:$D$40,MATCH(B226,Roster!$A$5:$A$40,0)),"")</f>
        <v/>
      </c>
      <c r="N226" s="17" t="str">
        <f t="shared" si="23"/>
        <v/>
      </c>
      <c r="O226" s="17" t="str">
        <f>IF(OR(C226="Bullpen",C226="Game"),IFERROR(INDEX(Reference!$B$61:$B$62,MATCH(C226,Reference!$A$61:$A$62,0)),""),IF(D226="","",VLOOKUP(D226,Reference!$A$6:$B$11,2,TRUE())))</f>
        <v/>
      </c>
      <c r="P226" s="17" t="str">
        <f>IF(N226="","",VLOOKUP(MAX(N226,0),Reference!$A$17:$B$20,2,TRUE()))</f>
        <v/>
      </c>
      <c r="Q226" s="17" t="str">
        <f>IF(AND(OR(I226="",O226="",P226=""),OR(R226="",W226=""),OR(X226="",AC226="")),"",IF(OR(I226="",O226="",P226=""),0,I226*O226*P226)+IF(OR(R226="",W226=""),0,R226*IFERROR(INDEX(Reference!$B$61:$B$62,MATCH("Bullpen",Reference!$A$61:$A$62,0)),0)*W226)+IF(OR(X226="",AC226=""),0,X226*VLOOKUP(60,Reference!$A$6:$B$11,2,TRUE())*AC226))</f>
        <v/>
      </c>
      <c r="R226" s="16"/>
      <c r="S226" s="16"/>
      <c r="T226" s="16"/>
      <c r="U226" s="17" t="str">
        <f t="shared" si="24"/>
        <v/>
      </c>
      <c r="V226" s="17" t="str">
        <f t="shared" si="25"/>
        <v/>
      </c>
      <c r="W226" s="17" t="str">
        <f>IF(V226="","",VLOOKUP(MAX(V226,0),Reference!$A$17:$B$20,2,TRUE()))</f>
        <v/>
      </c>
      <c r="X226" s="16"/>
      <c r="Y226" s="16"/>
      <c r="Z226" s="16"/>
      <c r="AA226" s="17" t="str">
        <f t="shared" si="26"/>
        <v/>
      </c>
      <c r="AB226" s="17" t="str">
        <f t="shared" si="27"/>
        <v/>
      </c>
      <c r="AC226" s="17" t="str">
        <f>IF(AB226="","",VLOOKUP(MAX(AB226,0),Reference!$A$17:$B$20,2,TRUE()))</f>
        <v/>
      </c>
      <c r="AD226" s="16"/>
    </row>
    <row r="227" spans="1:30" x14ac:dyDescent="0.3">
      <c r="A227" s="19"/>
      <c r="B227" s="16"/>
      <c r="C227" s="16"/>
      <c r="D227" s="16"/>
      <c r="E227" s="18"/>
      <c r="F227" s="18"/>
      <c r="G227" s="15" t="str">
        <f t="shared" si="21"/>
        <v/>
      </c>
      <c r="H227" s="16"/>
      <c r="I227" s="17" t="str">
        <f>IF(H227&lt;&gt;"",H227,IF(G227="","",ROUND(G227*IFERROR(INDEX(Reference!$B$44:$B$50,MATCH(C227,Reference!$A$44:$A$50,0)),0),0)))</f>
        <v/>
      </c>
      <c r="J227" s="16"/>
      <c r="K227" s="16"/>
      <c r="L227" s="17" t="str">
        <f t="shared" si="22"/>
        <v/>
      </c>
      <c r="M227" s="17" t="str">
        <f>IFERROR(INDEX(Roster!$D$5:$D$40,MATCH(B227,Roster!$A$5:$A$40,0)),"")</f>
        <v/>
      </c>
      <c r="N227" s="17" t="str">
        <f t="shared" si="23"/>
        <v/>
      </c>
      <c r="O227" s="17" t="str">
        <f>IF(OR(C227="Bullpen",C227="Game"),IFERROR(INDEX(Reference!$B$61:$B$62,MATCH(C227,Reference!$A$61:$A$62,0)),""),IF(D227="","",VLOOKUP(D227,Reference!$A$6:$B$11,2,TRUE())))</f>
        <v/>
      </c>
      <c r="P227" s="17" t="str">
        <f>IF(N227="","",VLOOKUP(MAX(N227,0),Reference!$A$17:$B$20,2,TRUE()))</f>
        <v/>
      </c>
      <c r="Q227" s="17" t="str">
        <f>IF(AND(OR(I227="",O227="",P227=""),OR(R227="",W227=""),OR(X227="",AC227="")),"",IF(OR(I227="",O227="",P227=""),0,I227*O227*P227)+IF(OR(R227="",W227=""),0,R227*IFERROR(INDEX(Reference!$B$61:$B$62,MATCH("Bullpen",Reference!$A$61:$A$62,0)),0)*W227)+IF(OR(X227="",AC227=""),0,X227*VLOOKUP(60,Reference!$A$6:$B$11,2,TRUE())*AC227))</f>
        <v/>
      </c>
      <c r="R227" s="16"/>
      <c r="S227" s="16"/>
      <c r="T227" s="16"/>
      <c r="U227" s="17" t="str">
        <f t="shared" si="24"/>
        <v/>
      </c>
      <c r="V227" s="17" t="str">
        <f t="shared" si="25"/>
        <v/>
      </c>
      <c r="W227" s="17" t="str">
        <f>IF(V227="","",VLOOKUP(MAX(V227,0),Reference!$A$17:$B$20,2,TRUE()))</f>
        <v/>
      </c>
      <c r="X227" s="16"/>
      <c r="Y227" s="16"/>
      <c r="Z227" s="16"/>
      <c r="AA227" s="17" t="str">
        <f t="shared" si="26"/>
        <v/>
      </c>
      <c r="AB227" s="17" t="str">
        <f t="shared" si="27"/>
        <v/>
      </c>
      <c r="AC227" s="17" t="str">
        <f>IF(AB227="","",VLOOKUP(MAX(AB227,0),Reference!$A$17:$B$20,2,TRUE()))</f>
        <v/>
      </c>
      <c r="AD227" s="16"/>
    </row>
    <row r="228" spans="1:30" x14ac:dyDescent="0.3">
      <c r="A228" s="19"/>
      <c r="B228" s="16"/>
      <c r="C228" s="16"/>
      <c r="D228" s="16"/>
      <c r="E228" s="18"/>
      <c r="F228" s="18"/>
      <c r="G228" s="15" t="str">
        <f t="shared" si="21"/>
        <v/>
      </c>
      <c r="H228" s="16"/>
      <c r="I228" s="17" t="str">
        <f>IF(H228&lt;&gt;"",H228,IF(G228="","",ROUND(G228*IFERROR(INDEX(Reference!$B$44:$B$50,MATCH(C228,Reference!$A$44:$A$50,0)),0),0)))</f>
        <v/>
      </c>
      <c r="J228" s="16"/>
      <c r="K228" s="16"/>
      <c r="L228" s="17" t="str">
        <f t="shared" si="22"/>
        <v/>
      </c>
      <c r="M228" s="17" t="str">
        <f>IFERROR(INDEX(Roster!$D$5:$D$40,MATCH(B228,Roster!$A$5:$A$40,0)),"")</f>
        <v/>
      </c>
      <c r="N228" s="17" t="str">
        <f t="shared" si="23"/>
        <v/>
      </c>
      <c r="O228" s="17" t="str">
        <f>IF(OR(C228="Bullpen",C228="Game"),IFERROR(INDEX(Reference!$B$61:$B$62,MATCH(C228,Reference!$A$61:$A$62,0)),""),IF(D228="","",VLOOKUP(D228,Reference!$A$6:$B$11,2,TRUE())))</f>
        <v/>
      </c>
      <c r="P228" s="17" t="str">
        <f>IF(N228="","",VLOOKUP(MAX(N228,0),Reference!$A$17:$B$20,2,TRUE()))</f>
        <v/>
      </c>
      <c r="Q228" s="17" t="str">
        <f>IF(AND(OR(I228="",O228="",P228=""),OR(R228="",W228=""),OR(X228="",AC228="")),"",IF(OR(I228="",O228="",P228=""),0,I228*O228*P228)+IF(OR(R228="",W228=""),0,R228*IFERROR(INDEX(Reference!$B$61:$B$62,MATCH("Bullpen",Reference!$A$61:$A$62,0)),0)*W228)+IF(OR(X228="",AC228=""),0,X228*VLOOKUP(60,Reference!$A$6:$B$11,2,TRUE())*AC228))</f>
        <v/>
      </c>
      <c r="R228" s="16"/>
      <c r="S228" s="16"/>
      <c r="T228" s="16"/>
      <c r="U228" s="17" t="str">
        <f t="shared" si="24"/>
        <v/>
      </c>
      <c r="V228" s="17" t="str">
        <f t="shared" si="25"/>
        <v/>
      </c>
      <c r="W228" s="17" t="str">
        <f>IF(V228="","",VLOOKUP(MAX(V228,0),Reference!$A$17:$B$20,2,TRUE()))</f>
        <v/>
      </c>
      <c r="X228" s="16"/>
      <c r="Y228" s="16"/>
      <c r="Z228" s="16"/>
      <c r="AA228" s="17" t="str">
        <f t="shared" si="26"/>
        <v/>
      </c>
      <c r="AB228" s="17" t="str">
        <f t="shared" si="27"/>
        <v/>
      </c>
      <c r="AC228" s="17" t="str">
        <f>IF(AB228="","",VLOOKUP(MAX(AB228,0),Reference!$A$17:$B$20,2,TRUE()))</f>
        <v/>
      </c>
      <c r="AD228" s="16"/>
    </row>
    <row r="229" spans="1:30" x14ac:dyDescent="0.3">
      <c r="A229" s="19"/>
      <c r="B229" s="16"/>
      <c r="C229" s="16"/>
      <c r="D229" s="16"/>
      <c r="E229" s="18"/>
      <c r="F229" s="18"/>
      <c r="G229" s="15" t="str">
        <f t="shared" si="21"/>
        <v/>
      </c>
      <c r="H229" s="16"/>
      <c r="I229" s="17" t="str">
        <f>IF(H229&lt;&gt;"",H229,IF(G229="","",ROUND(G229*IFERROR(INDEX(Reference!$B$44:$B$50,MATCH(C229,Reference!$A$44:$A$50,0)),0),0)))</f>
        <v/>
      </c>
      <c r="J229" s="16"/>
      <c r="K229" s="16"/>
      <c r="L229" s="17" t="str">
        <f t="shared" si="22"/>
        <v/>
      </c>
      <c r="M229" s="17" t="str">
        <f>IFERROR(INDEX(Roster!$D$5:$D$40,MATCH(B229,Roster!$A$5:$A$40,0)),"")</f>
        <v/>
      </c>
      <c r="N229" s="17" t="str">
        <f t="shared" si="23"/>
        <v/>
      </c>
      <c r="O229" s="17" t="str">
        <f>IF(OR(C229="Bullpen",C229="Game"),IFERROR(INDEX(Reference!$B$61:$B$62,MATCH(C229,Reference!$A$61:$A$62,0)),""),IF(D229="","",VLOOKUP(D229,Reference!$A$6:$B$11,2,TRUE())))</f>
        <v/>
      </c>
      <c r="P229" s="17" t="str">
        <f>IF(N229="","",VLOOKUP(MAX(N229,0),Reference!$A$17:$B$20,2,TRUE()))</f>
        <v/>
      </c>
      <c r="Q229" s="17" t="str">
        <f>IF(AND(OR(I229="",O229="",P229=""),OR(R229="",W229=""),OR(X229="",AC229="")),"",IF(OR(I229="",O229="",P229=""),0,I229*O229*P229)+IF(OR(R229="",W229=""),0,R229*IFERROR(INDEX(Reference!$B$61:$B$62,MATCH("Bullpen",Reference!$A$61:$A$62,0)),0)*W229)+IF(OR(X229="",AC229=""),0,X229*VLOOKUP(60,Reference!$A$6:$B$11,2,TRUE())*AC229))</f>
        <v/>
      </c>
      <c r="R229" s="16"/>
      <c r="S229" s="16"/>
      <c r="T229" s="16"/>
      <c r="U229" s="17" t="str">
        <f t="shared" si="24"/>
        <v/>
      </c>
      <c r="V229" s="17" t="str">
        <f t="shared" si="25"/>
        <v/>
      </c>
      <c r="W229" s="17" t="str">
        <f>IF(V229="","",VLOOKUP(MAX(V229,0),Reference!$A$17:$B$20,2,TRUE()))</f>
        <v/>
      </c>
      <c r="X229" s="16"/>
      <c r="Y229" s="16"/>
      <c r="Z229" s="16"/>
      <c r="AA229" s="17" t="str">
        <f t="shared" si="26"/>
        <v/>
      </c>
      <c r="AB229" s="17" t="str">
        <f t="shared" si="27"/>
        <v/>
      </c>
      <c r="AC229" s="17" t="str">
        <f>IF(AB229="","",VLOOKUP(MAX(AB229,0),Reference!$A$17:$B$20,2,TRUE()))</f>
        <v/>
      </c>
      <c r="AD229" s="16"/>
    </row>
    <row r="230" spans="1:30" x14ac:dyDescent="0.3">
      <c r="A230" s="19"/>
      <c r="B230" s="16"/>
      <c r="C230" s="16"/>
      <c r="D230" s="16"/>
      <c r="E230" s="18"/>
      <c r="F230" s="18"/>
      <c r="G230" s="15" t="str">
        <f t="shared" si="21"/>
        <v/>
      </c>
      <c r="H230" s="16"/>
      <c r="I230" s="17" t="str">
        <f>IF(H230&lt;&gt;"",H230,IF(G230="","",ROUND(G230*IFERROR(INDEX(Reference!$B$44:$B$50,MATCH(C230,Reference!$A$44:$A$50,0)),0),0)))</f>
        <v/>
      </c>
      <c r="J230" s="16"/>
      <c r="K230" s="16"/>
      <c r="L230" s="17" t="str">
        <f t="shared" si="22"/>
        <v/>
      </c>
      <c r="M230" s="17" t="str">
        <f>IFERROR(INDEX(Roster!$D$5:$D$40,MATCH(B230,Roster!$A$5:$A$40,0)),"")</f>
        <v/>
      </c>
      <c r="N230" s="17" t="str">
        <f t="shared" si="23"/>
        <v/>
      </c>
      <c r="O230" s="17" t="str">
        <f>IF(OR(C230="Bullpen",C230="Game"),IFERROR(INDEX(Reference!$B$61:$B$62,MATCH(C230,Reference!$A$61:$A$62,0)),""),IF(D230="","",VLOOKUP(D230,Reference!$A$6:$B$11,2,TRUE())))</f>
        <v/>
      </c>
      <c r="P230" s="17" t="str">
        <f>IF(N230="","",VLOOKUP(MAX(N230,0),Reference!$A$17:$B$20,2,TRUE()))</f>
        <v/>
      </c>
      <c r="Q230" s="17" t="str">
        <f>IF(AND(OR(I230="",O230="",P230=""),OR(R230="",W230=""),OR(X230="",AC230="")),"",IF(OR(I230="",O230="",P230=""),0,I230*O230*P230)+IF(OR(R230="",W230=""),0,R230*IFERROR(INDEX(Reference!$B$61:$B$62,MATCH("Bullpen",Reference!$A$61:$A$62,0)),0)*W230)+IF(OR(X230="",AC230=""),0,X230*VLOOKUP(60,Reference!$A$6:$B$11,2,TRUE())*AC230))</f>
        <v/>
      </c>
      <c r="R230" s="16"/>
      <c r="S230" s="16"/>
      <c r="T230" s="16"/>
      <c r="U230" s="17" t="str">
        <f t="shared" si="24"/>
        <v/>
      </c>
      <c r="V230" s="17" t="str">
        <f t="shared" si="25"/>
        <v/>
      </c>
      <c r="W230" s="17" t="str">
        <f>IF(V230="","",VLOOKUP(MAX(V230,0),Reference!$A$17:$B$20,2,TRUE()))</f>
        <v/>
      </c>
      <c r="X230" s="16"/>
      <c r="Y230" s="16"/>
      <c r="Z230" s="16"/>
      <c r="AA230" s="17" t="str">
        <f t="shared" si="26"/>
        <v/>
      </c>
      <c r="AB230" s="17" t="str">
        <f t="shared" si="27"/>
        <v/>
      </c>
      <c r="AC230" s="17" t="str">
        <f>IF(AB230="","",VLOOKUP(MAX(AB230,0),Reference!$A$17:$B$20,2,TRUE()))</f>
        <v/>
      </c>
      <c r="AD230" s="16"/>
    </row>
    <row r="231" spans="1:30" x14ac:dyDescent="0.3">
      <c r="A231" s="19"/>
      <c r="B231" s="16"/>
      <c r="C231" s="16"/>
      <c r="D231" s="16"/>
      <c r="E231" s="18"/>
      <c r="F231" s="18"/>
      <c r="G231" s="15" t="str">
        <f t="shared" si="21"/>
        <v/>
      </c>
      <c r="H231" s="16"/>
      <c r="I231" s="17" t="str">
        <f>IF(H231&lt;&gt;"",H231,IF(G231="","",ROUND(G231*IFERROR(INDEX(Reference!$B$44:$B$50,MATCH(C231,Reference!$A$44:$A$50,0)),0),0)))</f>
        <v/>
      </c>
      <c r="J231" s="16"/>
      <c r="K231" s="16"/>
      <c r="L231" s="17" t="str">
        <f t="shared" si="22"/>
        <v/>
      </c>
      <c r="M231" s="17" t="str">
        <f>IFERROR(INDEX(Roster!$D$5:$D$40,MATCH(B231,Roster!$A$5:$A$40,0)),"")</f>
        <v/>
      </c>
      <c r="N231" s="17" t="str">
        <f t="shared" si="23"/>
        <v/>
      </c>
      <c r="O231" s="17" t="str">
        <f>IF(OR(C231="Bullpen",C231="Game"),IFERROR(INDEX(Reference!$B$61:$B$62,MATCH(C231,Reference!$A$61:$A$62,0)),""),IF(D231="","",VLOOKUP(D231,Reference!$A$6:$B$11,2,TRUE())))</f>
        <v/>
      </c>
      <c r="P231" s="17" t="str">
        <f>IF(N231="","",VLOOKUP(MAX(N231,0),Reference!$A$17:$B$20,2,TRUE()))</f>
        <v/>
      </c>
      <c r="Q231" s="17" t="str">
        <f>IF(AND(OR(I231="",O231="",P231=""),OR(R231="",W231=""),OR(X231="",AC231="")),"",IF(OR(I231="",O231="",P231=""),0,I231*O231*P231)+IF(OR(R231="",W231=""),0,R231*IFERROR(INDEX(Reference!$B$61:$B$62,MATCH("Bullpen",Reference!$A$61:$A$62,0)),0)*W231)+IF(OR(X231="",AC231=""),0,X231*VLOOKUP(60,Reference!$A$6:$B$11,2,TRUE())*AC231))</f>
        <v/>
      </c>
      <c r="R231" s="16"/>
      <c r="S231" s="16"/>
      <c r="T231" s="16"/>
      <c r="U231" s="17" t="str">
        <f t="shared" si="24"/>
        <v/>
      </c>
      <c r="V231" s="17" t="str">
        <f t="shared" si="25"/>
        <v/>
      </c>
      <c r="W231" s="17" t="str">
        <f>IF(V231="","",VLOOKUP(MAX(V231,0),Reference!$A$17:$B$20,2,TRUE()))</f>
        <v/>
      </c>
      <c r="X231" s="16"/>
      <c r="Y231" s="16"/>
      <c r="Z231" s="16"/>
      <c r="AA231" s="17" t="str">
        <f t="shared" si="26"/>
        <v/>
      </c>
      <c r="AB231" s="17" t="str">
        <f t="shared" si="27"/>
        <v/>
      </c>
      <c r="AC231" s="17" t="str">
        <f>IF(AB231="","",VLOOKUP(MAX(AB231,0),Reference!$A$17:$B$20,2,TRUE()))</f>
        <v/>
      </c>
      <c r="AD231" s="16"/>
    </row>
    <row r="232" spans="1:30" x14ac:dyDescent="0.3">
      <c r="A232" s="19"/>
      <c r="B232" s="16"/>
      <c r="C232" s="16"/>
      <c r="D232" s="16"/>
      <c r="E232" s="18"/>
      <c r="F232" s="18"/>
      <c r="G232" s="15" t="str">
        <f t="shared" si="21"/>
        <v/>
      </c>
      <c r="H232" s="16"/>
      <c r="I232" s="17" t="str">
        <f>IF(H232&lt;&gt;"",H232,IF(G232="","",ROUND(G232*IFERROR(INDEX(Reference!$B$44:$B$50,MATCH(C232,Reference!$A$44:$A$50,0)),0),0)))</f>
        <v/>
      </c>
      <c r="J232" s="16"/>
      <c r="K232" s="16"/>
      <c r="L232" s="17" t="str">
        <f t="shared" si="22"/>
        <v/>
      </c>
      <c r="M232" s="17" t="str">
        <f>IFERROR(INDEX(Roster!$D$5:$D$40,MATCH(B232,Roster!$A$5:$A$40,0)),"")</f>
        <v/>
      </c>
      <c r="N232" s="17" t="str">
        <f t="shared" si="23"/>
        <v/>
      </c>
      <c r="O232" s="17" t="str">
        <f>IF(OR(C232="Bullpen",C232="Game"),IFERROR(INDEX(Reference!$B$61:$B$62,MATCH(C232,Reference!$A$61:$A$62,0)),""),IF(D232="","",VLOOKUP(D232,Reference!$A$6:$B$11,2,TRUE())))</f>
        <v/>
      </c>
      <c r="P232" s="17" t="str">
        <f>IF(N232="","",VLOOKUP(MAX(N232,0),Reference!$A$17:$B$20,2,TRUE()))</f>
        <v/>
      </c>
      <c r="Q232" s="17" t="str">
        <f>IF(AND(OR(I232="",O232="",P232=""),OR(R232="",W232=""),OR(X232="",AC232="")),"",IF(OR(I232="",O232="",P232=""),0,I232*O232*P232)+IF(OR(R232="",W232=""),0,R232*IFERROR(INDEX(Reference!$B$61:$B$62,MATCH("Bullpen",Reference!$A$61:$A$62,0)),0)*W232)+IF(OR(X232="",AC232=""),0,X232*VLOOKUP(60,Reference!$A$6:$B$11,2,TRUE())*AC232))</f>
        <v/>
      </c>
      <c r="R232" s="16"/>
      <c r="S232" s="16"/>
      <c r="T232" s="16"/>
      <c r="U232" s="17" t="str">
        <f t="shared" si="24"/>
        <v/>
      </c>
      <c r="V232" s="17" t="str">
        <f t="shared" si="25"/>
        <v/>
      </c>
      <c r="W232" s="17" t="str">
        <f>IF(V232="","",VLOOKUP(MAX(V232,0),Reference!$A$17:$B$20,2,TRUE()))</f>
        <v/>
      </c>
      <c r="X232" s="16"/>
      <c r="Y232" s="16"/>
      <c r="Z232" s="16"/>
      <c r="AA232" s="17" t="str">
        <f t="shared" si="26"/>
        <v/>
      </c>
      <c r="AB232" s="17" t="str">
        <f t="shared" si="27"/>
        <v/>
      </c>
      <c r="AC232" s="17" t="str">
        <f>IF(AB232="","",VLOOKUP(MAX(AB232,0),Reference!$A$17:$B$20,2,TRUE()))</f>
        <v/>
      </c>
      <c r="AD232" s="16"/>
    </row>
    <row r="233" spans="1:30" x14ac:dyDescent="0.3">
      <c r="A233" s="19"/>
      <c r="B233" s="16"/>
      <c r="C233" s="16"/>
      <c r="D233" s="16"/>
      <c r="E233" s="18"/>
      <c r="F233" s="18"/>
      <c r="G233" s="15" t="str">
        <f t="shared" si="21"/>
        <v/>
      </c>
      <c r="H233" s="16"/>
      <c r="I233" s="17" t="str">
        <f>IF(H233&lt;&gt;"",H233,IF(G233="","",ROUND(G233*IFERROR(INDEX(Reference!$B$44:$B$50,MATCH(C233,Reference!$A$44:$A$50,0)),0),0)))</f>
        <v/>
      </c>
      <c r="J233" s="16"/>
      <c r="K233" s="16"/>
      <c r="L233" s="17" t="str">
        <f t="shared" si="22"/>
        <v/>
      </c>
      <c r="M233" s="17" t="str">
        <f>IFERROR(INDEX(Roster!$D$5:$D$40,MATCH(B233,Roster!$A$5:$A$40,0)),"")</f>
        <v/>
      </c>
      <c r="N233" s="17" t="str">
        <f t="shared" si="23"/>
        <v/>
      </c>
      <c r="O233" s="17" t="str">
        <f>IF(OR(C233="Bullpen",C233="Game"),IFERROR(INDEX(Reference!$B$61:$B$62,MATCH(C233,Reference!$A$61:$A$62,0)),""),IF(D233="","",VLOOKUP(D233,Reference!$A$6:$B$11,2,TRUE())))</f>
        <v/>
      </c>
      <c r="P233" s="17" t="str">
        <f>IF(N233="","",VLOOKUP(MAX(N233,0),Reference!$A$17:$B$20,2,TRUE()))</f>
        <v/>
      </c>
      <c r="Q233" s="17" t="str">
        <f>IF(AND(OR(I233="",O233="",P233=""),OR(R233="",W233=""),OR(X233="",AC233="")),"",IF(OR(I233="",O233="",P233=""),0,I233*O233*P233)+IF(OR(R233="",W233=""),0,R233*IFERROR(INDEX(Reference!$B$61:$B$62,MATCH("Bullpen",Reference!$A$61:$A$62,0)),0)*W233)+IF(OR(X233="",AC233=""),0,X233*VLOOKUP(60,Reference!$A$6:$B$11,2,TRUE())*AC233))</f>
        <v/>
      </c>
      <c r="R233" s="16"/>
      <c r="S233" s="16"/>
      <c r="T233" s="16"/>
      <c r="U233" s="17" t="str">
        <f t="shared" si="24"/>
        <v/>
      </c>
      <c r="V233" s="17" t="str">
        <f t="shared" si="25"/>
        <v/>
      </c>
      <c r="W233" s="17" t="str">
        <f>IF(V233="","",VLOOKUP(MAX(V233,0),Reference!$A$17:$B$20,2,TRUE()))</f>
        <v/>
      </c>
      <c r="X233" s="16"/>
      <c r="Y233" s="16"/>
      <c r="Z233" s="16"/>
      <c r="AA233" s="17" t="str">
        <f t="shared" si="26"/>
        <v/>
      </c>
      <c r="AB233" s="17" t="str">
        <f t="shared" si="27"/>
        <v/>
      </c>
      <c r="AC233" s="17" t="str">
        <f>IF(AB233="","",VLOOKUP(MAX(AB233,0),Reference!$A$17:$B$20,2,TRUE()))</f>
        <v/>
      </c>
      <c r="AD233" s="16"/>
    </row>
    <row r="234" spans="1:30" x14ac:dyDescent="0.3">
      <c r="A234" s="19"/>
      <c r="B234" s="16"/>
      <c r="C234" s="16"/>
      <c r="D234" s="16"/>
      <c r="E234" s="18"/>
      <c r="F234" s="18"/>
      <c r="G234" s="15" t="str">
        <f t="shared" si="21"/>
        <v/>
      </c>
      <c r="H234" s="16"/>
      <c r="I234" s="17" t="str">
        <f>IF(H234&lt;&gt;"",H234,IF(G234="","",ROUND(G234*IFERROR(INDEX(Reference!$B$44:$B$50,MATCH(C234,Reference!$A$44:$A$50,0)),0),0)))</f>
        <v/>
      </c>
      <c r="J234" s="16"/>
      <c r="K234" s="16"/>
      <c r="L234" s="17" t="str">
        <f t="shared" si="22"/>
        <v/>
      </c>
      <c r="M234" s="17" t="str">
        <f>IFERROR(INDEX(Roster!$D$5:$D$40,MATCH(B234,Roster!$A$5:$A$40,0)),"")</f>
        <v/>
      </c>
      <c r="N234" s="17" t="str">
        <f t="shared" si="23"/>
        <v/>
      </c>
      <c r="O234" s="17" t="str">
        <f>IF(OR(C234="Bullpen",C234="Game"),IFERROR(INDEX(Reference!$B$61:$B$62,MATCH(C234,Reference!$A$61:$A$62,0)),""),IF(D234="","",VLOOKUP(D234,Reference!$A$6:$B$11,2,TRUE())))</f>
        <v/>
      </c>
      <c r="P234" s="17" t="str">
        <f>IF(N234="","",VLOOKUP(MAX(N234,0),Reference!$A$17:$B$20,2,TRUE()))</f>
        <v/>
      </c>
      <c r="Q234" s="17" t="str">
        <f>IF(AND(OR(I234="",O234="",P234=""),OR(R234="",W234=""),OR(X234="",AC234="")),"",IF(OR(I234="",O234="",P234=""),0,I234*O234*P234)+IF(OR(R234="",W234=""),0,R234*IFERROR(INDEX(Reference!$B$61:$B$62,MATCH("Bullpen",Reference!$A$61:$A$62,0)),0)*W234)+IF(OR(X234="",AC234=""),0,X234*VLOOKUP(60,Reference!$A$6:$B$11,2,TRUE())*AC234))</f>
        <v/>
      </c>
      <c r="R234" s="16"/>
      <c r="S234" s="16"/>
      <c r="T234" s="16"/>
      <c r="U234" s="17" t="str">
        <f t="shared" si="24"/>
        <v/>
      </c>
      <c r="V234" s="17" t="str">
        <f t="shared" si="25"/>
        <v/>
      </c>
      <c r="W234" s="17" t="str">
        <f>IF(V234="","",VLOOKUP(MAX(V234,0),Reference!$A$17:$B$20,2,TRUE()))</f>
        <v/>
      </c>
      <c r="X234" s="16"/>
      <c r="Y234" s="16"/>
      <c r="Z234" s="16"/>
      <c r="AA234" s="17" t="str">
        <f t="shared" si="26"/>
        <v/>
      </c>
      <c r="AB234" s="17" t="str">
        <f t="shared" si="27"/>
        <v/>
      </c>
      <c r="AC234" s="17" t="str">
        <f>IF(AB234="","",VLOOKUP(MAX(AB234,0),Reference!$A$17:$B$20,2,TRUE()))</f>
        <v/>
      </c>
      <c r="AD234" s="16"/>
    </row>
    <row r="235" spans="1:30" x14ac:dyDescent="0.3">
      <c r="A235" s="19"/>
      <c r="B235" s="16"/>
      <c r="C235" s="16"/>
      <c r="D235" s="16"/>
      <c r="E235" s="18"/>
      <c r="F235" s="18"/>
      <c r="G235" s="15" t="str">
        <f t="shared" si="21"/>
        <v/>
      </c>
      <c r="H235" s="16"/>
      <c r="I235" s="17" t="str">
        <f>IF(H235&lt;&gt;"",H235,IF(G235="","",ROUND(G235*IFERROR(INDEX(Reference!$B$44:$B$50,MATCH(C235,Reference!$A$44:$A$50,0)),0),0)))</f>
        <v/>
      </c>
      <c r="J235" s="16"/>
      <c r="K235" s="16"/>
      <c r="L235" s="17" t="str">
        <f t="shared" si="22"/>
        <v/>
      </c>
      <c r="M235" s="17" t="str">
        <f>IFERROR(INDEX(Roster!$D$5:$D$40,MATCH(B235,Roster!$A$5:$A$40,0)),"")</f>
        <v/>
      </c>
      <c r="N235" s="17" t="str">
        <f t="shared" si="23"/>
        <v/>
      </c>
      <c r="O235" s="17" t="str">
        <f>IF(OR(C235="Bullpen",C235="Game"),IFERROR(INDEX(Reference!$B$61:$B$62,MATCH(C235,Reference!$A$61:$A$62,0)),""),IF(D235="","",VLOOKUP(D235,Reference!$A$6:$B$11,2,TRUE())))</f>
        <v/>
      </c>
      <c r="P235" s="17" t="str">
        <f>IF(N235="","",VLOOKUP(MAX(N235,0),Reference!$A$17:$B$20,2,TRUE()))</f>
        <v/>
      </c>
      <c r="Q235" s="17" t="str">
        <f>IF(AND(OR(I235="",O235="",P235=""),OR(R235="",W235=""),OR(X235="",AC235="")),"",IF(OR(I235="",O235="",P235=""),0,I235*O235*P235)+IF(OR(R235="",W235=""),0,R235*IFERROR(INDEX(Reference!$B$61:$B$62,MATCH("Bullpen",Reference!$A$61:$A$62,0)),0)*W235)+IF(OR(X235="",AC235=""),0,X235*VLOOKUP(60,Reference!$A$6:$B$11,2,TRUE())*AC235))</f>
        <v/>
      </c>
      <c r="R235" s="16"/>
      <c r="S235" s="16"/>
      <c r="T235" s="16"/>
      <c r="U235" s="17" t="str">
        <f t="shared" si="24"/>
        <v/>
      </c>
      <c r="V235" s="17" t="str">
        <f t="shared" si="25"/>
        <v/>
      </c>
      <c r="W235" s="17" t="str">
        <f>IF(V235="","",VLOOKUP(MAX(V235,0),Reference!$A$17:$B$20,2,TRUE()))</f>
        <v/>
      </c>
      <c r="X235" s="16"/>
      <c r="Y235" s="16"/>
      <c r="Z235" s="16"/>
      <c r="AA235" s="17" t="str">
        <f t="shared" si="26"/>
        <v/>
      </c>
      <c r="AB235" s="17" t="str">
        <f t="shared" si="27"/>
        <v/>
      </c>
      <c r="AC235" s="17" t="str">
        <f>IF(AB235="","",VLOOKUP(MAX(AB235,0),Reference!$A$17:$B$20,2,TRUE()))</f>
        <v/>
      </c>
      <c r="AD235" s="16"/>
    </row>
    <row r="236" spans="1:30" x14ac:dyDescent="0.3">
      <c r="A236" s="19"/>
      <c r="B236" s="16"/>
      <c r="C236" s="16"/>
      <c r="D236" s="16"/>
      <c r="E236" s="18"/>
      <c r="F236" s="18"/>
      <c r="G236" s="15" t="str">
        <f t="shared" si="21"/>
        <v/>
      </c>
      <c r="H236" s="16"/>
      <c r="I236" s="17" t="str">
        <f>IF(H236&lt;&gt;"",H236,IF(G236="","",ROUND(G236*IFERROR(INDEX(Reference!$B$44:$B$50,MATCH(C236,Reference!$A$44:$A$50,0)),0),0)))</f>
        <v/>
      </c>
      <c r="J236" s="16"/>
      <c r="K236" s="16"/>
      <c r="L236" s="17" t="str">
        <f t="shared" si="22"/>
        <v/>
      </c>
      <c r="M236" s="17" t="str">
        <f>IFERROR(INDEX(Roster!$D$5:$D$40,MATCH(B236,Roster!$A$5:$A$40,0)),"")</f>
        <v/>
      </c>
      <c r="N236" s="17" t="str">
        <f t="shared" si="23"/>
        <v/>
      </c>
      <c r="O236" s="17" t="str">
        <f>IF(OR(C236="Bullpen",C236="Game"),IFERROR(INDEX(Reference!$B$61:$B$62,MATCH(C236,Reference!$A$61:$A$62,0)),""),IF(D236="","",VLOOKUP(D236,Reference!$A$6:$B$11,2,TRUE())))</f>
        <v/>
      </c>
      <c r="P236" s="17" t="str">
        <f>IF(N236="","",VLOOKUP(MAX(N236,0),Reference!$A$17:$B$20,2,TRUE()))</f>
        <v/>
      </c>
      <c r="Q236" s="17" t="str">
        <f>IF(AND(OR(I236="",O236="",P236=""),OR(R236="",W236=""),OR(X236="",AC236="")),"",IF(OR(I236="",O236="",P236=""),0,I236*O236*P236)+IF(OR(R236="",W236=""),0,R236*IFERROR(INDEX(Reference!$B$61:$B$62,MATCH("Bullpen",Reference!$A$61:$A$62,0)),0)*W236)+IF(OR(X236="",AC236=""),0,X236*VLOOKUP(60,Reference!$A$6:$B$11,2,TRUE())*AC236))</f>
        <v/>
      </c>
      <c r="R236" s="16"/>
      <c r="S236" s="16"/>
      <c r="T236" s="16"/>
      <c r="U236" s="17" t="str">
        <f t="shared" si="24"/>
        <v/>
      </c>
      <c r="V236" s="17" t="str">
        <f t="shared" si="25"/>
        <v/>
      </c>
      <c r="W236" s="17" t="str">
        <f>IF(V236="","",VLOOKUP(MAX(V236,0),Reference!$A$17:$B$20,2,TRUE()))</f>
        <v/>
      </c>
      <c r="X236" s="16"/>
      <c r="Y236" s="16"/>
      <c r="Z236" s="16"/>
      <c r="AA236" s="17" t="str">
        <f t="shared" si="26"/>
        <v/>
      </c>
      <c r="AB236" s="17" t="str">
        <f t="shared" si="27"/>
        <v/>
      </c>
      <c r="AC236" s="17" t="str">
        <f>IF(AB236="","",VLOOKUP(MAX(AB236,0),Reference!$A$17:$B$20,2,TRUE()))</f>
        <v/>
      </c>
      <c r="AD236" s="16"/>
    </row>
    <row r="237" spans="1:30" x14ac:dyDescent="0.3">
      <c r="A237" s="19"/>
      <c r="B237" s="16"/>
      <c r="C237" s="16"/>
      <c r="D237" s="16"/>
      <c r="E237" s="18"/>
      <c r="F237" s="18"/>
      <c r="G237" s="15" t="str">
        <f t="shared" si="21"/>
        <v/>
      </c>
      <c r="H237" s="16"/>
      <c r="I237" s="17" t="str">
        <f>IF(H237&lt;&gt;"",H237,IF(G237="","",ROUND(G237*IFERROR(INDEX(Reference!$B$44:$B$50,MATCH(C237,Reference!$A$44:$A$50,0)),0),0)))</f>
        <v/>
      </c>
      <c r="J237" s="16"/>
      <c r="K237" s="16"/>
      <c r="L237" s="17" t="str">
        <f t="shared" si="22"/>
        <v/>
      </c>
      <c r="M237" s="17" t="str">
        <f>IFERROR(INDEX(Roster!$D$5:$D$40,MATCH(B237,Roster!$A$5:$A$40,0)),"")</f>
        <v/>
      </c>
      <c r="N237" s="17" t="str">
        <f t="shared" si="23"/>
        <v/>
      </c>
      <c r="O237" s="17" t="str">
        <f>IF(OR(C237="Bullpen",C237="Game"),IFERROR(INDEX(Reference!$B$61:$B$62,MATCH(C237,Reference!$A$61:$A$62,0)),""),IF(D237="","",VLOOKUP(D237,Reference!$A$6:$B$11,2,TRUE())))</f>
        <v/>
      </c>
      <c r="P237" s="17" t="str">
        <f>IF(N237="","",VLOOKUP(MAX(N237,0),Reference!$A$17:$B$20,2,TRUE()))</f>
        <v/>
      </c>
      <c r="Q237" s="17" t="str">
        <f>IF(AND(OR(I237="",O237="",P237=""),OR(R237="",W237=""),OR(X237="",AC237="")),"",IF(OR(I237="",O237="",P237=""),0,I237*O237*P237)+IF(OR(R237="",W237=""),0,R237*IFERROR(INDEX(Reference!$B$61:$B$62,MATCH("Bullpen",Reference!$A$61:$A$62,0)),0)*W237)+IF(OR(X237="",AC237=""),0,X237*VLOOKUP(60,Reference!$A$6:$B$11,2,TRUE())*AC237))</f>
        <v/>
      </c>
      <c r="R237" s="16"/>
      <c r="S237" s="16"/>
      <c r="T237" s="16"/>
      <c r="U237" s="17" t="str">
        <f t="shared" si="24"/>
        <v/>
      </c>
      <c r="V237" s="17" t="str">
        <f t="shared" si="25"/>
        <v/>
      </c>
      <c r="W237" s="17" t="str">
        <f>IF(V237="","",VLOOKUP(MAX(V237,0),Reference!$A$17:$B$20,2,TRUE()))</f>
        <v/>
      </c>
      <c r="X237" s="16"/>
      <c r="Y237" s="16"/>
      <c r="Z237" s="16"/>
      <c r="AA237" s="17" t="str">
        <f t="shared" si="26"/>
        <v/>
      </c>
      <c r="AB237" s="17" t="str">
        <f t="shared" si="27"/>
        <v/>
      </c>
      <c r="AC237" s="17" t="str">
        <f>IF(AB237="","",VLOOKUP(MAX(AB237,0),Reference!$A$17:$B$20,2,TRUE()))</f>
        <v/>
      </c>
      <c r="AD237" s="16"/>
    </row>
    <row r="238" spans="1:30" x14ac:dyDescent="0.3">
      <c r="A238" s="19"/>
      <c r="B238" s="16"/>
      <c r="C238" s="16"/>
      <c r="D238" s="16"/>
      <c r="E238" s="18"/>
      <c r="F238" s="18"/>
      <c r="G238" s="15" t="str">
        <f t="shared" si="21"/>
        <v/>
      </c>
      <c r="H238" s="16"/>
      <c r="I238" s="17" t="str">
        <f>IF(H238&lt;&gt;"",H238,IF(G238="","",ROUND(G238*IFERROR(INDEX(Reference!$B$44:$B$50,MATCH(C238,Reference!$A$44:$A$50,0)),0),0)))</f>
        <v/>
      </c>
      <c r="J238" s="16"/>
      <c r="K238" s="16"/>
      <c r="L238" s="17" t="str">
        <f t="shared" si="22"/>
        <v/>
      </c>
      <c r="M238" s="17" t="str">
        <f>IFERROR(INDEX(Roster!$D$5:$D$40,MATCH(B238,Roster!$A$5:$A$40,0)),"")</f>
        <v/>
      </c>
      <c r="N238" s="17" t="str">
        <f t="shared" si="23"/>
        <v/>
      </c>
      <c r="O238" s="17" t="str">
        <f>IF(OR(C238="Bullpen",C238="Game"),IFERROR(INDEX(Reference!$B$61:$B$62,MATCH(C238,Reference!$A$61:$A$62,0)),""),IF(D238="","",VLOOKUP(D238,Reference!$A$6:$B$11,2,TRUE())))</f>
        <v/>
      </c>
      <c r="P238" s="17" t="str">
        <f>IF(N238="","",VLOOKUP(MAX(N238,0),Reference!$A$17:$B$20,2,TRUE()))</f>
        <v/>
      </c>
      <c r="Q238" s="17" t="str">
        <f>IF(AND(OR(I238="",O238="",P238=""),OR(R238="",W238=""),OR(X238="",AC238="")),"",IF(OR(I238="",O238="",P238=""),0,I238*O238*P238)+IF(OR(R238="",W238=""),0,R238*IFERROR(INDEX(Reference!$B$61:$B$62,MATCH("Bullpen",Reference!$A$61:$A$62,0)),0)*W238)+IF(OR(X238="",AC238=""),0,X238*VLOOKUP(60,Reference!$A$6:$B$11,2,TRUE())*AC238))</f>
        <v/>
      </c>
      <c r="R238" s="16"/>
      <c r="S238" s="16"/>
      <c r="T238" s="16"/>
      <c r="U238" s="17" t="str">
        <f t="shared" si="24"/>
        <v/>
      </c>
      <c r="V238" s="17" t="str">
        <f t="shared" si="25"/>
        <v/>
      </c>
      <c r="W238" s="17" t="str">
        <f>IF(V238="","",VLOOKUP(MAX(V238,0),Reference!$A$17:$B$20,2,TRUE()))</f>
        <v/>
      </c>
      <c r="X238" s="16"/>
      <c r="Y238" s="16"/>
      <c r="Z238" s="16"/>
      <c r="AA238" s="17" t="str">
        <f t="shared" si="26"/>
        <v/>
      </c>
      <c r="AB238" s="17" t="str">
        <f t="shared" si="27"/>
        <v/>
      </c>
      <c r="AC238" s="17" t="str">
        <f>IF(AB238="","",VLOOKUP(MAX(AB238,0),Reference!$A$17:$B$20,2,TRUE()))</f>
        <v/>
      </c>
      <c r="AD238" s="16"/>
    </row>
    <row r="239" spans="1:30" x14ac:dyDescent="0.3">
      <c r="A239" s="19"/>
      <c r="B239" s="16"/>
      <c r="C239" s="16"/>
      <c r="D239" s="16"/>
      <c r="E239" s="18"/>
      <c r="F239" s="18"/>
      <c r="G239" s="15" t="str">
        <f t="shared" si="21"/>
        <v/>
      </c>
      <c r="H239" s="16"/>
      <c r="I239" s="17" t="str">
        <f>IF(H239&lt;&gt;"",H239,IF(G239="","",ROUND(G239*IFERROR(INDEX(Reference!$B$44:$B$50,MATCH(C239,Reference!$A$44:$A$50,0)),0),0)))</f>
        <v/>
      </c>
      <c r="J239" s="16"/>
      <c r="K239" s="16"/>
      <c r="L239" s="17" t="str">
        <f t="shared" si="22"/>
        <v/>
      </c>
      <c r="M239" s="17" t="str">
        <f>IFERROR(INDEX(Roster!$D$5:$D$40,MATCH(B239,Roster!$A$5:$A$40,0)),"")</f>
        <v/>
      </c>
      <c r="N239" s="17" t="str">
        <f t="shared" si="23"/>
        <v/>
      </c>
      <c r="O239" s="17" t="str">
        <f>IF(OR(C239="Bullpen",C239="Game"),IFERROR(INDEX(Reference!$B$61:$B$62,MATCH(C239,Reference!$A$61:$A$62,0)),""),IF(D239="","",VLOOKUP(D239,Reference!$A$6:$B$11,2,TRUE())))</f>
        <v/>
      </c>
      <c r="P239" s="17" t="str">
        <f>IF(N239="","",VLOOKUP(MAX(N239,0),Reference!$A$17:$B$20,2,TRUE()))</f>
        <v/>
      </c>
      <c r="Q239" s="17" t="str">
        <f>IF(AND(OR(I239="",O239="",P239=""),OR(R239="",W239=""),OR(X239="",AC239="")),"",IF(OR(I239="",O239="",P239=""),0,I239*O239*P239)+IF(OR(R239="",W239=""),0,R239*IFERROR(INDEX(Reference!$B$61:$B$62,MATCH("Bullpen",Reference!$A$61:$A$62,0)),0)*W239)+IF(OR(X239="",AC239=""),0,X239*VLOOKUP(60,Reference!$A$6:$B$11,2,TRUE())*AC239))</f>
        <v/>
      </c>
      <c r="R239" s="16"/>
      <c r="S239" s="16"/>
      <c r="T239" s="16"/>
      <c r="U239" s="17" t="str">
        <f t="shared" si="24"/>
        <v/>
      </c>
      <c r="V239" s="17" t="str">
        <f t="shared" si="25"/>
        <v/>
      </c>
      <c r="W239" s="17" t="str">
        <f>IF(V239="","",VLOOKUP(MAX(V239,0),Reference!$A$17:$B$20,2,TRUE()))</f>
        <v/>
      </c>
      <c r="X239" s="16"/>
      <c r="Y239" s="16"/>
      <c r="Z239" s="16"/>
      <c r="AA239" s="17" t="str">
        <f t="shared" si="26"/>
        <v/>
      </c>
      <c r="AB239" s="17" t="str">
        <f t="shared" si="27"/>
        <v/>
      </c>
      <c r="AC239" s="17" t="str">
        <f>IF(AB239="","",VLOOKUP(MAX(AB239,0),Reference!$A$17:$B$20,2,TRUE()))</f>
        <v/>
      </c>
      <c r="AD239" s="16"/>
    </row>
    <row r="240" spans="1:30" x14ac:dyDescent="0.3">
      <c r="A240" s="19"/>
      <c r="B240" s="16"/>
      <c r="C240" s="16"/>
      <c r="D240" s="16"/>
      <c r="E240" s="18"/>
      <c r="F240" s="18"/>
      <c r="G240" s="15" t="str">
        <f t="shared" si="21"/>
        <v/>
      </c>
      <c r="H240" s="16"/>
      <c r="I240" s="17" t="str">
        <f>IF(H240&lt;&gt;"",H240,IF(G240="","",ROUND(G240*IFERROR(INDEX(Reference!$B$44:$B$50,MATCH(C240,Reference!$A$44:$A$50,0)),0),0)))</f>
        <v/>
      </c>
      <c r="J240" s="16"/>
      <c r="K240" s="16"/>
      <c r="L240" s="17" t="str">
        <f t="shared" si="22"/>
        <v/>
      </c>
      <c r="M240" s="17" t="str">
        <f>IFERROR(INDEX(Roster!$D$5:$D$40,MATCH(B240,Roster!$A$5:$A$40,0)),"")</f>
        <v/>
      </c>
      <c r="N240" s="17" t="str">
        <f t="shared" si="23"/>
        <v/>
      </c>
      <c r="O240" s="17" t="str">
        <f>IF(OR(C240="Bullpen",C240="Game"),IFERROR(INDEX(Reference!$B$61:$B$62,MATCH(C240,Reference!$A$61:$A$62,0)),""),IF(D240="","",VLOOKUP(D240,Reference!$A$6:$B$11,2,TRUE())))</f>
        <v/>
      </c>
      <c r="P240" s="17" t="str">
        <f>IF(N240="","",VLOOKUP(MAX(N240,0),Reference!$A$17:$B$20,2,TRUE()))</f>
        <v/>
      </c>
      <c r="Q240" s="17" t="str">
        <f>IF(AND(OR(I240="",O240="",P240=""),OR(R240="",W240=""),OR(X240="",AC240="")),"",IF(OR(I240="",O240="",P240=""),0,I240*O240*P240)+IF(OR(R240="",W240=""),0,R240*IFERROR(INDEX(Reference!$B$61:$B$62,MATCH("Bullpen",Reference!$A$61:$A$62,0)),0)*W240)+IF(OR(X240="",AC240=""),0,X240*VLOOKUP(60,Reference!$A$6:$B$11,2,TRUE())*AC240))</f>
        <v/>
      </c>
      <c r="R240" s="16"/>
      <c r="S240" s="16"/>
      <c r="T240" s="16"/>
      <c r="U240" s="17" t="str">
        <f t="shared" si="24"/>
        <v/>
      </c>
      <c r="V240" s="17" t="str">
        <f t="shared" si="25"/>
        <v/>
      </c>
      <c r="W240" s="17" t="str">
        <f>IF(V240="","",VLOOKUP(MAX(V240,0),Reference!$A$17:$B$20,2,TRUE()))</f>
        <v/>
      </c>
      <c r="X240" s="16"/>
      <c r="Y240" s="16"/>
      <c r="Z240" s="16"/>
      <c r="AA240" s="17" t="str">
        <f t="shared" si="26"/>
        <v/>
      </c>
      <c r="AB240" s="17" t="str">
        <f t="shared" si="27"/>
        <v/>
      </c>
      <c r="AC240" s="17" t="str">
        <f>IF(AB240="","",VLOOKUP(MAX(AB240,0),Reference!$A$17:$B$20,2,TRUE()))</f>
        <v/>
      </c>
      <c r="AD240" s="16"/>
    </row>
    <row r="241" spans="1:30" x14ac:dyDescent="0.3">
      <c r="A241" s="19"/>
      <c r="B241" s="16"/>
      <c r="C241" s="16"/>
      <c r="D241" s="16"/>
      <c r="E241" s="18"/>
      <c r="F241" s="18"/>
      <c r="G241" s="15" t="str">
        <f t="shared" si="21"/>
        <v/>
      </c>
      <c r="H241" s="16"/>
      <c r="I241" s="17" t="str">
        <f>IF(H241&lt;&gt;"",H241,IF(G241="","",ROUND(G241*IFERROR(INDEX(Reference!$B$44:$B$50,MATCH(C241,Reference!$A$44:$A$50,0)),0),0)))</f>
        <v/>
      </c>
      <c r="J241" s="16"/>
      <c r="K241" s="16"/>
      <c r="L241" s="17" t="str">
        <f t="shared" si="22"/>
        <v/>
      </c>
      <c r="M241" s="17" t="str">
        <f>IFERROR(INDEX(Roster!$D$5:$D$40,MATCH(B241,Roster!$A$5:$A$40,0)),"")</f>
        <v/>
      </c>
      <c r="N241" s="17" t="str">
        <f t="shared" si="23"/>
        <v/>
      </c>
      <c r="O241" s="17" t="str">
        <f>IF(OR(C241="Bullpen",C241="Game"),IFERROR(INDEX(Reference!$B$61:$B$62,MATCH(C241,Reference!$A$61:$A$62,0)),""),IF(D241="","",VLOOKUP(D241,Reference!$A$6:$B$11,2,TRUE())))</f>
        <v/>
      </c>
      <c r="P241" s="17" t="str">
        <f>IF(N241="","",VLOOKUP(MAX(N241,0),Reference!$A$17:$B$20,2,TRUE()))</f>
        <v/>
      </c>
      <c r="Q241" s="17" t="str">
        <f>IF(AND(OR(I241="",O241="",P241=""),OR(R241="",W241=""),OR(X241="",AC241="")),"",IF(OR(I241="",O241="",P241=""),0,I241*O241*P241)+IF(OR(R241="",W241=""),0,R241*IFERROR(INDEX(Reference!$B$61:$B$62,MATCH("Bullpen",Reference!$A$61:$A$62,0)),0)*W241)+IF(OR(X241="",AC241=""),0,X241*VLOOKUP(60,Reference!$A$6:$B$11,2,TRUE())*AC241))</f>
        <v/>
      </c>
      <c r="R241" s="16"/>
      <c r="S241" s="16"/>
      <c r="T241" s="16"/>
      <c r="U241" s="17" t="str">
        <f t="shared" si="24"/>
        <v/>
      </c>
      <c r="V241" s="17" t="str">
        <f t="shared" si="25"/>
        <v/>
      </c>
      <c r="W241" s="17" t="str">
        <f>IF(V241="","",VLOOKUP(MAX(V241,0),Reference!$A$17:$B$20,2,TRUE()))</f>
        <v/>
      </c>
      <c r="X241" s="16"/>
      <c r="Y241" s="16"/>
      <c r="Z241" s="16"/>
      <c r="AA241" s="17" t="str">
        <f t="shared" si="26"/>
        <v/>
      </c>
      <c r="AB241" s="17" t="str">
        <f t="shared" si="27"/>
        <v/>
      </c>
      <c r="AC241" s="17" t="str">
        <f>IF(AB241="","",VLOOKUP(MAX(AB241,0),Reference!$A$17:$B$20,2,TRUE()))</f>
        <v/>
      </c>
      <c r="AD241" s="16"/>
    </row>
    <row r="242" spans="1:30" x14ac:dyDescent="0.3">
      <c r="A242" s="19"/>
      <c r="B242" s="16"/>
      <c r="C242" s="16"/>
      <c r="D242" s="16"/>
      <c r="E242" s="18"/>
      <c r="F242" s="18"/>
      <c r="G242" s="15" t="str">
        <f t="shared" si="21"/>
        <v/>
      </c>
      <c r="H242" s="16"/>
      <c r="I242" s="17" t="str">
        <f>IF(H242&lt;&gt;"",H242,IF(G242="","",ROUND(G242*IFERROR(INDEX(Reference!$B$44:$B$50,MATCH(C242,Reference!$A$44:$A$50,0)),0),0)))</f>
        <v/>
      </c>
      <c r="J242" s="16"/>
      <c r="K242" s="16"/>
      <c r="L242" s="17" t="str">
        <f t="shared" si="22"/>
        <v/>
      </c>
      <c r="M242" s="17" t="str">
        <f>IFERROR(INDEX(Roster!$D$5:$D$40,MATCH(B242,Roster!$A$5:$A$40,0)),"")</f>
        <v/>
      </c>
      <c r="N242" s="17" t="str">
        <f t="shared" si="23"/>
        <v/>
      </c>
      <c r="O242" s="17" t="str">
        <f>IF(OR(C242="Bullpen",C242="Game"),IFERROR(INDEX(Reference!$B$61:$B$62,MATCH(C242,Reference!$A$61:$A$62,0)),""),IF(D242="","",VLOOKUP(D242,Reference!$A$6:$B$11,2,TRUE())))</f>
        <v/>
      </c>
      <c r="P242" s="17" t="str">
        <f>IF(N242="","",VLOOKUP(MAX(N242,0),Reference!$A$17:$B$20,2,TRUE()))</f>
        <v/>
      </c>
      <c r="Q242" s="17" t="str">
        <f>IF(AND(OR(I242="",O242="",P242=""),OR(R242="",W242=""),OR(X242="",AC242="")),"",IF(OR(I242="",O242="",P242=""),0,I242*O242*P242)+IF(OR(R242="",W242=""),0,R242*IFERROR(INDEX(Reference!$B$61:$B$62,MATCH("Bullpen",Reference!$A$61:$A$62,0)),0)*W242)+IF(OR(X242="",AC242=""),0,X242*VLOOKUP(60,Reference!$A$6:$B$11,2,TRUE())*AC242))</f>
        <v/>
      </c>
      <c r="R242" s="16"/>
      <c r="S242" s="16"/>
      <c r="T242" s="16"/>
      <c r="U242" s="17" t="str">
        <f t="shared" si="24"/>
        <v/>
      </c>
      <c r="V242" s="17" t="str">
        <f t="shared" si="25"/>
        <v/>
      </c>
      <c r="W242" s="17" t="str">
        <f>IF(V242="","",VLOOKUP(MAX(V242,0),Reference!$A$17:$B$20,2,TRUE()))</f>
        <v/>
      </c>
      <c r="X242" s="16"/>
      <c r="Y242" s="16"/>
      <c r="Z242" s="16"/>
      <c r="AA242" s="17" t="str">
        <f t="shared" si="26"/>
        <v/>
      </c>
      <c r="AB242" s="17" t="str">
        <f t="shared" si="27"/>
        <v/>
      </c>
      <c r="AC242" s="17" t="str">
        <f>IF(AB242="","",VLOOKUP(MAX(AB242,0),Reference!$A$17:$B$20,2,TRUE()))</f>
        <v/>
      </c>
      <c r="AD242" s="16"/>
    </row>
    <row r="243" spans="1:30" x14ac:dyDescent="0.3">
      <c r="A243" s="19"/>
      <c r="B243" s="16"/>
      <c r="C243" s="16"/>
      <c r="D243" s="16"/>
      <c r="E243" s="18"/>
      <c r="F243" s="18"/>
      <c r="G243" s="15" t="str">
        <f t="shared" si="21"/>
        <v/>
      </c>
      <c r="H243" s="16"/>
      <c r="I243" s="17" t="str">
        <f>IF(H243&lt;&gt;"",H243,IF(G243="","",ROUND(G243*IFERROR(INDEX(Reference!$B$44:$B$50,MATCH(C243,Reference!$A$44:$A$50,0)),0),0)))</f>
        <v/>
      </c>
      <c r="J243" s="16"/>
      <c r="K243" s="16"/>
      <c r="L243" s="17" t="str">
        <f t="shared" si="22"/>
        <v/>
      </c>
      <c r="M243" s="17" t="str">
        <f>IFERROR(INDEX(Roster!$D$5:$D$40,MATCH(B243,Roster!$A$5:$A$40,0)),"")</f>
        <v/>
      </c>
      <c r="N243" s="17" t="str">
        <f t="shared" si="23"/>
        <v/>
      </c>
      <c r="O243" s="17" t="str">
        <f>IF(OR(C243="Bullpen",C243="Game"),IFERROR(INDEX(Reference!$B$61:$B$62,MATCH(C243,Reference!$A$61:$A$62,0)),""),IF(D243="","",VLOOKUP(D243,Reference!$A$6:$B$11,2,TRUE())))</f>
        <v/>
      </c>
      <c r="P243" s="17" t="str">
        <f>IF(N243="","",VLOOKUP(MAX(N243,0),Reference!$A$17:$B$20,2,TRUE()))</f>
        <v/>
      </c>
      <c r="Q243" s="17" t="str">
        <f>IF(AND(OR(I243="",O243="",P243=""),OR(R243="",W243=""),OR(X243="",AC243="")),"",IF(OR(I243="",O243="",P243=""),0,I243*O243*P243)+IF(OR(R243="",W243=""),0,R243*IFERROR(INDEX(Reference!$B$61:$B$62,MATCH("Bullpen",Reference!$A$61:$A$62,0)),0)*W243)+IF(OR(X243="",AC243=""),0,X243*VLOOKUP(60,Reference!$A$6:$B$11,2,TRUE())*AC243))</f>
        <v/>
      </c>
      <c r="R243" s="16"/>
      <c r="S243" s="16"/>
      <c r="T243" s="16"/>
      <c r="U243" s="17" t="str">
        <f t="shared" si="24"/>
        <v/>
      </c>
      <c r="V243" s="17" t="str">
        <f t="shared" si="25"/>
        <v/>
      </c>
      <c r="W243" s="17" t="str">
        <f>IF(V243="","",VLOOKUP(MAX(V243,0),Reference!$A$17:$B$20,2,TRUE()))</f>
        <v/>
      </c>
      <c r="X243" s="16"/>
      <c r="Y243" s="16"/>
      <c r="Z243" s="16"/>
      <c r="AA243" s="17" t="str">
        <f t="shared" si="26"/>
        <v/>
      </c>
      <c r="AB243" s="17" t="str">
        <f t="shared" si="27"/>
        <v/>
      </c>
      <c r="AC243" s="17" t="str">
        <f>IF(AB243="","",VLOOKUP(MAX(AB243,0),Reference!$A$17:$B$20,2,TRUE()))</f>
        <v/>
      </c>
      <c r="AD243" s="16"/>
    </row>
    <row r="244" spans="1:30" x14ac:dyDescent="0.3">
      <c r="A244" s="19"/>
      <c r="B244" s="16"/>
      <c r="C244" s="16"/>
      <c r="D244" s="16"/>
      <c r="E244" s="18"/>
      <c r="F244" s="18"/>
      <c r="G244" s="15" t="str">
        <f t="shared" si="21"/>
        <v/>
      </c>
      <c r="H244" s="16"/>
      <c r="I244" s="17" t="str">
        <f>IF(H244&lt;&gt;"",H244,IF(G244="","",ROUND(G244*IFERROR(INDEX(Reference!$B$44:$B$50,MATCH(C244,Reference!$A$44:$A$50,0)),0),0)))</f>
        <v/>
      </c>
      <c r="J244" s="16"/>
      <c r="K244" s="16"/>
      <c r="L244" s="17" t="str">
        <f t="shared" si="22"/>
        <v/>
      </c>
      <c r="M244" s="17" t="str">
        <f>IFERROR(INDEX(Roster!$D$5:$D$40,MATCH(B244,Roster!$A$5:$A$40,0)),"")</f>
        <v/>
      </c>
      <c r="N244" s="17" t="str">
        <f t="shared" si="23"/>
        <v/>
      </c>
      <c r="O244" s="17" t="str">
        <f>IF(OR(C244="Bullpen",C244="Game"),IFERROR(INDEX(Reference!$B$61:$B$62,MATCH(C244,Reference!$A$61:$A$62,0)),""),IF(D244="","",VLOOKUP(D244,Reference!$A$6:$B$11,2,TRUE())))</f>
        <v/>
      </c>
      <c r="P244" s="17" t="str">
        <f>IF(N244="","",VLOOKUP(MAX(N244,0),Reference!$A$17:$B$20,2,TRUE()))</f>
        <v/>
      </c>
      <c r="Q244" s="17" t="str">
        <f>IF(AND(OR(I244="",O244="",P244=""),OR(R244="",W244=""),OR(X244="",AC244="")),"",IF(OR(I244="",O244="",P244=""),0,I244*O244*P244)+IF(OR(R244="",W244=""),0,R244*IFERROR(INDEX(Reference!$B$61:$B$62,MATCH("Bullpen",Reference!$A$61:$A$62,0)),0)*W244)+IF(OR(X244="",AC244=""),0,X244*VLOOKUP(60,Reference!$A$6:$B$11,2,TRUE())*AC244))</f>
        <v/>
      </c>
      <c r="R244" s="16"/>
      <c r="S244" s="16"/>
      <c r="T244" s="16"/>
      <c r="U244" s="17" t="str">
        <f t="shared" si="24"/>
        <v/>
      </c>
      <c r="V244" s="17" t="str">
        <f t="shared" si="25"/>
        <v/>
      </c>
      <c r="W244" s="17" t="str">
        <f>IF(V244="","",VLOOKUP(MAX(V244,0),Reference!$A$17:$B$20,2,TRUE()))</f>
        <v/>
      </c>
      <c r="X244" s="16"/>
      <c r="Y244" s="16"/>
      <c r="Z244" s="16"/>
      <c r="AA244" s="17" t="str">
        <f t="shared" si="26"/>
        <v/>
      </c>
      <c r="AB244" s="17" t="str">
        <f t="shared" si="27"/>
        <v/>
      </c>
      <c r="AC244" s="17" t="str">
        <f>IF(AB244="","",VLOOKUP(MAX(AB244,0),Reference!$A$17:$B$20,2,TRUE()))</f>
        <v/>
      </c>
      <c r="AD244" s="16"/>
    </row>
    <row r="245" spans="1:30" x14ac:dyDescent="0.3">
      <c r="A245" s="19"/>
      <c r="B245" s="16"/>
      <c r="C245" s="16"/>
      <c r="D245" s="16"/>
      <c r="E245" s="18"/>
      <c r="F245" s="18"/>
      <c r="G245" s="15" t="str">
        <f t="shared" si="21"/>
        <v/>
      </c>
      <c r="H245" s="16"/>
      <c r="I245" s="17" t="str">
        <f>IF(H245&lt;&gt;"",H245,IF(G245="","",ROUND(G245*IFERROR(INDEX(Reference!$B$44:$B$50,MATCH(C245,Reference!$A$44:$A$50,0)),0),0)))</f>
        <v/>
      </c>
      <c r="J245" s="16"/>
      <c r="K245" s="16"/>
      <c r="L245" s="17" t="str">
        <f t="shared" si="22"/>
        <v/>
      </c>
      <c r="M245" s="17" t="str">
        <f>IFERROR(INDEX(Roster!$D$5:$D$40,MATCH(B245,Roster!$A$5:$A$40,0)),"")</f>
        <v/>
      </c>
      <c r="N245" s="17" t="str">
        <f t="shared" si="23"/>
        <v/>
      </c>
      <c r="O245" s="17" t="str">
        <f>IF(OR(C245="Bullpen",C245="Game"),IFERROR(INDEX(Reference!$B$61:$B$62,MATCH(C245,Reference!$A$61:$A$62,0)),""),IF(D245="","",VLOOKUP(D245,Reference!$A$6:$B$11,2,TRUE())))</f>
        <v/>
      </c>
      <c r="P245" s="17" t="str">
        <f>IF(N245="","",VLOOKUP(MAX(N245,0),Reference!$A$17:$B$20,2,TRUE()))</f>
        <v/>
      </c>
      <c r="Q245" s="17" t="str">
        <f>IF(AND(OR(I245="",O245="",P245=""),OR(R245="",W245=""),OR(X245="",AC245="")),"",IF(OR(I245="",O245="",P245=""),0,I245*O245*P245)+IF(OR(R245="",W245=""),0,R245*IFERROR(INDEX(Reference!$B$61:$B$62,MATCH("Bullpen",Reference!$A$61:$A$62,0)),0)*W245)+IF(OR(X245="",AC245=""),0,X245*VLOOKUP(60,Reference!$A$6:$B$11,2,TRUE())*AC245))</f>
        <v/>
      </c>
      <c r="R245" s="16"/>
      <c r="S245" s="16"/>
      <c r="T245" s="16"/>
      <c r="U245" s="17" t="str">
        <f t="shared" si="24"/>
        <v/>
      </c>
      <c r="V245" s="17" t="str">
        <f t="shared" si="25"/>
        <v/>
      </c>
      <c r="W245" s="17" t="str">
        <f>IF(V245="","",VLOOKUP(MAX(V245,0),Reference!$A$17:$B$20,2,TRUE()))</f>
        <v/>
      </c>
      <c r="X245" s="16"/>
      <c r="Y245" s="16"/>
      <c r="Z245" s="16"/>
      <c r="AA245" s="17" t="str">
        <f t="shared" si="26"/>
        <v/>
      </c>
      <c r="AB245" s="17" t="str">
        <f t="shared" si="27"/>
        <v/>
      </c>
      <c r="AC245" s="17" t="str">
        <f>IF(AB245="","",VLOOKUP(MAX(AB245,0),Reference!$A$17:$B$20,2,TRUE()))</f>
        <v/>
      </c>
      <c r="AD245" s="16"/>
    </row>
    <row r="246" spans="1:30" x14ac:dyDescent="0.3">
      <c r="A246" s="19"/>
      <c r="B246" s="16"/>
      <c r="C246" s="16"/>
      <c r="D246" s="16"/>
      <c r="E246" s="18"/>
      <c r="F246" s="18"/>
      <c r="G246" s="15" t="str">
        <f t="shared" si="21"/>
        <v/>
      </c>
      <c r="H246" s="16"/>
      <c r="I246" s="17" t="str">
        <f>IF(H246&lt;&gt;"",H246,IF(G246="","",ROUND(G246*IFERROR(INDEX(Reference!$B$44:$B$50,MATCH(C246,Reference!$A$44:$A$50,0)),0),0)))</f>
        <v/>
      </c>
      <c r="J246" s="16"/>
      <c r="K246" s="16"/>
      <c r="L246" s="17" t="str">
        <f t="shared" si="22"/>
        <v/>
      </c>
      <c r="M246" s="17" t="str">
        <f>IFERROR(INDEX(Roster!$D$5:$D$40,MATCH(B246,Roster!$A$5:$A$40,0)),"")</f>
        <v/>
      </c>
      <c r="N246" s="17" t="str">
        <f t="shared" si="23"/>
        <v/>
      </c>
      <c r="O246" s="17" t="str">
        <f>IF(OR(C246="Bullpen",C246="Game"),IFERROR(INDEX(Reference!$B$61:$B$62,MATCH(C246,Reference!$A$61:$A$62,0)),""),IF(D246="","",VLOOKUP(D246,Reference!$A$6:$B$11,2,TRUE())))</f>
        <v/>
      </c>
      <c r="P246" s="17" t="str">
        <f>IF(N246="","",VLOOKUP(MAX(N246,0),Reference!$A$17:$B$20,2,TRUE()))</f>
        <v/>
      </c>
      <c r="Q246" s="17" t="str">
        <f>IF(AND(OR(I246="",O246="",P246=""),OR(R246="",W246=""),OR(X246="",AC246="")),"",IF(OR(I246="",O246="",P246=""),0,I246*O246*P246)+IF(OR(R246="",W246=""),0,R246*IFERROR(INDEX(Reference!$B$61:$B$62,MATCH("Bullpen",Reference!$A$61:$A$62,0)),0)*W246)+IF(OR(X246="",AC246=""),0,X246*VLOOKUP(60,Reference!$A$6:$B$11,2,TRUE())*AC246))</f>
        <v/>
      </c>
      <c r="R246" s="16"/>
      <c r="S246" s="16"/>
      <c r="T246" s="16"/>
      <c r="U246" s="17" t="str">
        <f t="shared" si="24"/>
        <v/>
      </c>
      <c r="V246" s="17" t="str">
        <f t="shared" si="25"/>
        <v/>
      </c>
      <c r="W246" s="17" t="str">
        <f>IF(V246="","",VLOOKUP(MAX(V246,0),Reference!$A$17:$B$20,2,TRUE()))</f>
        <v/>
      </c>
      <c r="X246" s="16"/>
      <c r="Y246" s="16"/>
      <c r="Z246" s="16"/>
      <c r="AA246" s="17" t="str">
        <f t="shared" si="26"/>
        <v/>
      </c>
      <c r="AB246" s="17" t="str">
        <f t="shared" si="27"/>
        <v/>
      </c>
      <c r="AC246" s="17" t="str">
        <f>IF(AB246="","",VLOOKUP(MAX(AB246,0),Reference!$A$17:$B$20,2,TRUE()))</f>
        <v/>
      </c>
      <c r="AD246" s="16"/>
    </row>
    <row r="247" spans="1:30" x14ac:dyDescent="0.3">
      <c r="A247" s="19"/>
      <c r="B247" s="16"/>
      <c r="C247" s="16"/>
      <c r="D247" s="16"/>
      <c r="E247" s="18"/>
      <c r="F247" s="18"/>
      <c r="G247" s="15" t="str">
        <f t="shared" si="21"/>
        <v/>
      </c>
      <c r="H247" s="16"/>
      <c r="I247" s="17" t="str">
        <f>IF(H247&lt;&gt;"",H247,IF(G247="","",ROUND(G247*IFERROR(INDEX(Reference!$B$44:$B$50,MATCH(C247,Reference!$A$44:$A$50,0)),0),0)))</f>
        <v/>
      </c>
      <c r="J247" s="16"/>
      <c r="K247" s="16"/>
      <c r="L247" s="17" t="str">
        <f t="shared" si="22"/>
        <v/>
      </c>
      <c r="M247" s="17" t="str">
        <f>IFERROR(INDEX(Roster!$D$5:$D$40,MATCH(B247,Roster!$A$5:$A$40,0)),"")</f>
        <v/>
      </c>
      <c r="N247" s="17" t="str">
        <f t="shared" si="23"/>
        <v/>
      </c>
      <c r="O247" s="17" t="str">
        <f>IF(OR(C247="Bullpen",C247="Game"),IFERROR(INDEX(Reference!$B$61:$B$62,MATCH(C247,Reference!$A$61:$A$62,0)),""),IF(D247="","",VLOOKUP(D247,Reference!$A$6:$B$11,2,TRUE())))</f>
        <v/>
      </c>
      <c r="P247" s="17" t="str">
        <f>IF(N247="","",VLOOKUP(MAX(N247,0),Reference!$A$17:$B$20,2,TRUE()))</f>
        <v/>
      </c>
      <c r="Q247" s="17" t="str">
        <f>IF(AND(OR(I247="",O247="",P247=""),OR(R247="",W247=""),OR(X247="",AC247="")),"",IF(OR(I247="",O247="",P247=""),0,I247*O247*P247)+IF(OR(R247="",W247=""),0,R247*IFERROR(INDEX(Reference!$B$61:$B$62,MATCH("Bullpen",Reference!$A$61:$A$62,0)),0)*W247)+IF(OR(X247="",AC247=""),0,X247*VLOOKUP(60,Reference!$A$6:$B$11,2,TRUE())*AC247))</f>
        <v/>
      </c>
      <c r="R247" s="16"/>
      <c r="S247" s="16"/>
      <c r="T247" s="16"/>
      <c r="U247" s="17" t="str">
        <f t="shared" si="24"/>
        <v/>
      </c>
      <c r="V247" s="17" t="str">
        <f t="shared" si="25"/>
        <v/>
      </c>
      <c r="W247" s="17" t="str">
        <f>IF(V247="","",VLOOKUP(MAX(V247,0),Reference!$A$17:$B$20,2,TRUE()))</f>
        <v/>
      </c>
      <c r="X247" s="16"/>
      <c r="Y247" s="16"/>
      <c r="Z247" s="16"/>
      <c r="AA247" s="17" t="str">
        <f t="shared" si="26"/>
        <v/>
      </c>
      <c r="AB247" s="17" t="str">
        <f t="shared" si="27"/>
        <v/>
      </c>
      <c r="AC247" s="17" t="str">
        <f>IF(AB247="","",VLOOKUP(MAX(AB247,0),Reference!$A$17:$B$20,2,TRUE()))</f>
        <v/>
      </c>
      <c r="AD247" s="16"/>
    </row>
    <row r="248" spans="1:30" x14ac:dyDescent="0.3">
      <c r="A248" s="19"/>
      <c r="B248" s="16"/>
      <c r="C248" s="16"/>
      <c r="D248" s="16"/>
      <c r="E248" s="18"/>
      <c r="F248" s="18"/>
      <c r="G248" s="15" t="str">
        <f t="shared" si="21"/>
        <v/>
      </c>
      <c r="H248" s="16"/>
      <c r="I248" s="17" t="str">
        <f>IF(H248&lt;&gt;"",H248,IF(G248="","",ROUND(G248*IFERROR(INDEX(Reference!$B$44:$B$50,MATCH(C248,Reference!$A$44:$A$50,0)),0),0)))</f>
        <v/>
      </c>
      <c r="J248" s="16"/>
      <c r="K248" s="16"/>
      <c r="L248" s="17" t="str">
        <f t="shared" si="22"/>
        <v/>
      </c>
      <c r="M248" s="17" t="str">
        <f>IFERROR(INDEX(Roster!$D$5:$D$40,MATCH(B248,Roster!$A$5:$A$40,0)),"")</f>
        <v/>
      </c>
      <c r="N248" s="17" t="str">
        <f t="shared" si="23"/>
        <v/>
      </c>
      <c r="O248" s="17" t="str">
        <f>IF(OR(C248="Bullpen",C248="Game"),IFERROR(INDEX(Reference!$B$61:$B$62,MATCH(C248,Reference!$A$61:$A$62,0)),""),IF(D248="","",VLOOKUP(D248,Reference!$A$6:$B$11,2,TRUE())))</f>
        <v/>
      </c>
      <c r="P248" s="17" t="str">
        <f>IF(N248="","",VLOOKUP(MAX(N248,0),Reference!$A$17:$B$20,2,TRUE()))</f>
        <v/>
      </c>
      <c r="Q248" s="17" t="str">
        <f>IF(AND(OR(I248="",O248="",P248=""),OR(R248="",W248=""),OR(X248="",AC248="")),"",IF(OR(I248="",O248="",P248=""),0,I248*O248*P248)+IF(OR(R248="",W248=""),0,R248*IFERROR(INDEX(Reference!$B$61:$B$62,MATCH("Bullpen",Reference!$A$61:$A$62,0)),0)*W248)+IF(OR(X248="",AC248=""),0,X248*VLOOKUP(60,Reference!$A$6:$B$11,2,TRUE())*AC248))</f>
        <v/>
      </c>
      <c r="R248" s="16"/>
      <c r="S248" s="16"/>
      <c r="T248" s="16"/>
      <c r="U248" s="17" t="str">
        <f t="shared" si="24"/>
        <v/>
      </c>
      <c r="V248" s="17" t="str">
        <f t="shared" si="25"/>
        <v/>
      </c>
      <c r="W248" s="17" t="str">
        <f>IF(V248="","",VLOOKUP(MAX(V248,0),Reference!$A$17:$B$20,2,TRUE()))</f>
        <v/>
      </c>
      <c r="X248" s="16"/>
      <c r="Y248" s="16"/>
      <c r="Z248" s="16"/>
      <c r="AA248" s="17" t="str">
        <f t="shared" si="26"/>
        <v/>
      </c>
      <c r="AB248" s="17" t="str">
        <f t="shared" si="27"/>
        <v/>
      </c>
      <c r="AC248" s="17" t="str">
        <f>IF(AB248="","",VLOOKUP(MAX(AB248,0),Reference!$A$17:$B$20,2,TRUE()))</f>
        <v/>
      </c>
      <c r="AD248" s="16"/>
    </row>
    <row r="249" spans="1:30" x14ac:dyDescent="0.3">
      <c r="A249" s="19"/>
      <c r="B249" s="16"/>
      <c r="C249" s="16"/>
      <c r="D249" s="16"/>
      <c r="E249" s="18"/>
      <c r="F249" s="18"/>
      <c r="G249" s="15" t="str">
        <f t="shared" si="21"/>
        <v/>
      </c>
      <c r="H249" s="16"/>
      <c r="I249" s="17" t="str">
        <f>IF(H249&lt;&gt;"",H249,IF(G249="","",ROUND(G249*IFERROR(INDEX(Reference!$B$44:$B$50,MATCH(C249,Reference!$A$44:$A$50,0)),0),0)))</f>
        <v/>
      </c>
      <c r="J249" s="16"/>
      <c r="K249" s="16"/>
      <c r="L249" s="17" t="str">
        <f t="shared" si="22"/>
        <v/>
      </c>
      <c r="M249" s="17" t="str">
        <f>IFERROR(INDEX(Roster!$D$5:$D$40,MATCH(B249,Roster!$A$5:$A$40,0)),"")</f>
        <v/>
      </c>
      <c r="N249" s="17" t="str">
        <f t="shared" si="23"/>
        <v/>
      </c>
      <c r="O249" s="17" t="str">
        <f>IF(OR(C249="Bullpen",C249="Game"),IFERROR(INDEX(Reference!$B$61:$B$62,MATCH(C249,Reference!$A$61:$A$62,0)),""),IF(D249="","",VLOOKUP(D249,Reference!$A$6:$B$11,2,TRUE())))</f>
        <v/>
      </c>
      <c r="P249" s="17" t="str">
        <f>IF(N249="","",VLOOKUP(MAX(N249,0),Reference!$A$17:$B$20,2,TRUE()))</f>
        <v/>
      </c>
      <c r="Q249" s="17" t="str">
        <f>IF(AND(OR(I249="",O249="",P249=""),OR(R249="",W249=""),OR(X249="",AC249="")),"",IF(OR(I249="",O249="",P249=""),0,I249*O249*P249)+IF(OR(R249="",W249=""),0,R249*IFERROR(INDEX(Reference!$B$61:$B$62,MATCH("Bullpen",Reference!$A$61:$A$62,0)),0)*W249)+IF(OR(X249="",AC249=""),0,X249*VLOOKUP(60,Reference!$A$6:$B$11,2,TRUE())*AC249))</f>
        <v/>
      </c>
      <c r="R249" s="16"/>
      <c r="S249" s="16"/>
      <c r="T249" s="16"/>
      <c r="U249" s="17" t="str">
        <f t="shared" si="24"/>
        <v/>
      </c>
      <c r="V249" s="17" t="str">
        <f t="shared" si="25"/>
        <v/>
      </c>
      <c r="W249" s="17" t="str">
        <f>IF(V249="","",VLOOKUP(MAX(V249,0),Reference!$A$17:$B$20,2,TRUE()))</f>
        <v/>
      </c>
      <c r="X249" s="16"/>
      <c r="Y249" s="16"/>
      <c r="Z249" s="16"/>
      <c r="AA249" s="17" t="str">
        <f t="shared" si="26"/>
        <v/>
      </c>
      <c r="AB249" s="17" t="str">
        <f t="shared" si="27"/>
        <v/>
      </c>
      <c r="AC249" s="17" t="str">
        <f>IF(AB249="","",VLOOKUP(MAX(AB249,0),Reference!$A$17:$B$20,2,TRUE()))</f>
        <v/>
      </c>
      <c r="AD249" s="16"/>
    </row>
    <row r="250" spans="1:30" x14ac:dyDescent="0.3">
      <c r="A250" s="19"/>
      <c r="B250" s="16"/>
      <c r="C250" s="16"/>
      <c r="D250" s="16"/>
      <c r="E250" s="18"/>
      <c r="F250" s="18"/>
      <c r="G250" s="15" t="str">
        <f t="shared" si="21"/>
        <v/>
      </c>
      <c r="H250" s="16"/>
      <c r="I250" s="17" t="str">
        <f>IF(H250&lt;&gt;"",H250,IF(G250="","",ROUND(G250*IFERROR(INDEX(Reference!$B$44:$B$50,MATCH(C250,Reference!$A$44:$A$50,0)),0),0)))</f>
        <v/>
      </c>
      <c r="J250" s="16"/>
      <c r="K250" s="16"/>
      <c r="L250" s="17" t="str">
        <f t="shared" si="22"/>
        <v/>
      </c>
      <c r="M250" s="17" t="str">
        <f>IFERROR(INDEX(Roster!$D$5:$D$40,MATCH(B250,Roster!$A$5:$A$40,0)),"")</f>
        <v/>
      </c>
      <c r="N250" s="17" t="str">
        <f t="shared" si="23"/>
        <v/>
      </c>
      <c r="O250" s="17" t="str">
        <f>IF(OR(C250="Bullpen",C250="Game"),IFERROR(INDEX(Reference!$B$61:$B$62,MATCH(C250,Reference!$A$61:$A$62,0)),""),IF(D250="","",VLOOKUP(D250,Reference!$A$6:$B$11,2,TRUE())))</f>
        <v/>
      </c>
      <c r="P250" s="17" t="str">
        <f>IF(N250="","",VLOOKUP(MAX(N250,0),Reference!$A$17:$B$20,2,TRUE()))</f>
        <v/>
      </c>
      <c r="Q250" s="17" t="str">
        <f>IF(AND(OR(I250="",O250="",P250=""),OR(R250="",W250=""),OR(X250="",AC250="")),"",IF(OR(I250="",O250="",P250=""),0,I250*O250*P250)+IF(OR(R250="",W250=""),0,R250*IFERROR(INDEX(Reference!$B$61:$B$62,MATCH("Bullpen",Reference!$A$61:$A$62,0)),0)*W250)+IF(OR(X250="",AC250=""),0,X250*VLOOKUP(60,Reference!$A$6:$B$11,2,TRUE())*AC250))</f>
        <v/>
      </c>
      <c r="R250" s="16"/>
      <c r="S250" s="16"/>
      <c r="T250" s="16"/>
      <c r="U250" s="17" t="str">
        <f t="shared" si="24"/>
        <v/>
      </c>
      <c r="V250" s="17" t="str">
        <f t="shared" si="25"/>
        <v/>
      </c>
      <c r="W250" s="17" t="str">
        <f>IF(V250="","",VLOOKUP(MAX(V250,0),Reference!$A$17:$B$20,2,TRUE()))</f>
        <v/>
      </c>
      <c r="X250" s="16"/>
      <c r="Y250" s="16"/>
      <c r="Z250" s="16"/>
      <c r="AA250" s="17" t="str">
        <f t="shared" si="26"/>
        <v/>
      </c>
      <c r="AB250" s="17" t="str">
        <f t="shared" si="27"/>
        <v/>
      </c>
      <c r="AC250" s="17" t="str">
        <f>IF(AB250="","",VLOOKUP(MAX(AB250,0),Reference!$A$17:$B$20,2,TRUE()))</f>
        <v/>
      </c>
      <c r="AD250" s="16"/>
    </row>
    <row r="251" spans="1:30" x14ac:dyDescent="0.3">
      <c r="A251" s="19"/>
      <c r="B251" s="16"/>
      <c r="C251" s="16"/>
      <c r="D251" s="16"/>
      <c r="E251" s="18"/>
      <c r="F251" s="18"/>
      <c r="G251" s="15" t="str">
        <f t="shared" si="21"/>
        <v/>
      </c>
      <c r="H251" s="16"/>
      <c r="I251" s="17" t="str">
        <f>IF(H251&lt;&gt;"",H251,IF(G251="","",ROUND(G251*IFERROR(INDEX(Reference!$B$44:$B$50,MATCH(C251,Reference!$A$44:$A$50,0)),0),0)))</f>
        <v/>
      </c>
      <c r="J251" s="16"/>
      <c r="K251" s="16"/>
      <c r="L251" s="17" t="str">
        <f t="shared" si="22"/>
        <v/>
      </c>
      <c r="M251" s="17" t="str">
        <f>IFERROR(INDEX(Roster!$D$5:$D$40,MATCH(B251,Roster!$A$5:$A$40,0)),"")</f>
        <v/>
      </c>
      <c r="N251" s="17" t="str">
        <f t="shared" si="23"/>
        <v/>
      </c>
      <c r="O251" s="17" t="str">
        <f>IF(OR(C251="Bullpen",C251="Game"),IFERROR(INDEX(Reference!$B$61:$B$62,MATCH(C251,Reference!$A$61:$A$62,0)),""),IF(D251="","",VLOOKUP(D251,Reference!$A$6:$B$11,2,TRUE())))</f>
        <v/>
      </c>
      <c r="P251" s="17" t="str">
        <f>IF(N251="","",VLOOKUP(MAX(N251,0),Reference!$A$17:$B$20,2,TRUE()))</f>
        <v/>
      </c>
      <c r="Q251" s="17" t="str">
        <f>IF(AND(OR(I251="",O251="",P251=""),OR(R251="",W251=""),OR(X251="",AC251="")),"",IF(OR(I251="",O251="",P251=""),0,I251*O251*P251)+IF(OR(R251="",W251=""),0,R251*IFERROR(INDEX(Reference!$B$61:$B$62,MATCH("Bullpen",Reference!$A$61:$A$62,0)),0)*W251)+IF(OR(X251="",AC251=""),0,X251*VLOOKUP(60,Reference!$A$6:$B$11,2,TRUE())*AC251))</f>
        <v/>
      </c>
      <c r="R251" s="16"/>
      <c r="S251" s="16"/>
      <c r="T251" s="16"/>
      <c r="U251" s="17" t="str">
        <f t="shared" si="24"/>
        <v/>
      </c>
      <c r="V251" s="17" t="str">
        <f t="shared" si="25"/>
        <v/>
      </c>
      <c r="W251" s="17" t="str">
        <f>IF(V251="","",VLOOKUP(MAX(V251,0),Reference!$A$17:$B$20,2,TRUE()))</f>
        <v/>
      </c>
      <c r="X251" s="16"/>
      <c r="Y251" s="16"/>
      <c r="Z251" s="16"/>
      <c r="AA251" s="17" t="str">
        <f t="shared" si="26"/>
        <v/>
      </c>
      <c r="AB251" s="17" t="str">
        <f t="shared" si="27"/>
        <v/>
      </c>
      <c r="AC251" s="17" t="str">
        <f>IF(AB251="","",VLOOKUP(MAX(AB251,0),Reference!$A$17:$B$20,2,TRUE()))</f>
        <v/>
      </c>
      <c r="AD251" s="16"/>
    </row>
    <row r="252" spans="1:30" x14ac:dyDescent="0.3">
      <c r="A252" s="19"/>
      <c r="B252" s="16"/>
      <c r="C252" s="16"/>
      <c r="D252" s="16"/>
      <c r="E252" s="18"/>
      <c r="F252" s="18"/>
      <c r="G252" s="15" t="str">
        <f t="shared" si="21"/>
        <v/>
      </c>
      <c r="H252" s="16"/>
      <c r="I252" s="17" t="str">
        <f>IF(H252&lt;&gt;"",H252,IF(G252="","",ROUND(G252*IFERROR(INDEX(Reference!$B$44:$B$50,MATCH(C252,Reference!$A$44:$A$50,0)),0),0)))</f>
        <v/>
      </c>
      <c r="J252" s="16"/>
      <c r="K252" s="16"/>
      <c r="L252" s="17" t="str">
        <f t="shared" si="22"/>
        <v/>
      </c>
      <c r="M252" s="17" t="str">
        <f>IFERROR(INDEX(Roster!$D$5:$D$40,MATCH(B252,Roster!$A$5:$A$40,0)),"")</f>
        <v/>
      </c>
      <c r="N252" s="17" t="str">
        <f t="shared" si="23"/>
        <v/>
      </c>
      <c r="O252" s="17" t="str">
        <f>IF(OR(C252="Bullpen",C252="Game"),IFERROR(INDEX(Reference!$B$61:$B$62,MATCH(C252,Reference!$A$61:$A$62,0)),""),IF(D252="","",VLOOKUP(D252,Reference!$A$6:$B$11,2,TRUE())))</f>
        <v/>
      </c>
      <c r="P252" s="17" t="str">
        <f>IF(N252="","",VLOOKUP(MAX(N252,0),Reference!$A$17:$B$20,2,TRUE()))</f>
        <v/>
      </c>
      <c r="Q252" s="17" t="str">
        <f>IF(AND(OR(I252="",O252="",P252=""),OR(R252="",W252=""),OR(X252="",AC252="")),"",IF(OR(I252="",O252="",P252=""),0,I252*O252*P252)+IF(OR(R252="",W252=""),0,R252*IFERROR(INDEX(Reference!$B$61:$B$62,MATCH("Bullpen",Reference!$A$61:$A$62,0)),0)*W252)+IF(OR(X252="",AC252=""),0,X252*VLOOKUP(60,Reference!$A$6:$B$11,2,TRUE())*AC252))</f>
        <v/>
      </c>
      <c r="R252" s="16"/>
      <c r="S252" s="16"/>
      <c r="T252" s="16"/>
      <c r="U252" s="17" t="str">
        <f t="shared" si="24"/>
        <v/>
      </c>
      <c r="V252" s="17" t="str">
        <f t="shared" si="25"/>
        <v/>
      </c>
      <c r="W252" s="17" t="str">
        <f>IF(V252="","",VLOOKUP(MAX(V252,0),Reference!$A$17:$B$20,2,TRUE()))</f>
        <v/>
      </c>
      <c r="X252" s="16"/>
      <c r="Y252" s="16"/>
      <c r="Z252" s="16"/>
      <c r="AA252" s="17" t="str">
        <f t="shared" si="26"/>
        <v/>
      </c>
      <c r="AB252" s="17" t="str">
        <f t="shared" si="27"/>
        <v/>
      </c>
      <c r="AC252" s="17" t="str">
        <f>IF(AB252="","",VLOOKUP(MAX(AB252,0),Reference!$A$17:$B$20,2,TRUE()))</f>
        <v/>
      </c>
      <c r="AD252" s="16"/>
    </row>
    <row r="253" spans="1:30" x14ac:dyDescent="0.3">
      <c r="A253" s="19"/>
      <c r="B253" s="16"/>
      <c r="C253" s="16"/>
      <c r="D253" s="16"/>
      <c r="E253" s="18"/>
      <c r="F253" s="18"/>
      <c r="G253" s="15" t="str">
        <f t="shared" si="21"/>
        <v/>
      </c>
      <c r="H253" s="16"/>
      <c r="I253" s="17" t="str">
        <f>IF(H253&lt;&gt;"",H253,IF(G253="","",ROUND(G253*IFERROR(INDEX(Reference!$B$44:$B$50,MATCH(C253,Reference!$A$44:$A$50,0)),0),0)))</f>
        <v/>
      </c>
      <c r="J253" s="16"/>
      <c r="K253" s="16"/>
      <c r="L253" s="17" t="str">
        <f t="shared" si="22"/>
        <v/>
      </c>
      <c r="M253" s="17" t="str">
        <f>IFERROR(INDEX(Roster!$D$5:$D$40,MATCH(B253,Roster!$A$5:$A$40,0)),"")</f>
        <v/>
      </c>
      <c r="N253" s="17" t="str">
        <f t="shared" si="23"/>
        <v/>
      </c>
      <c r="O253" s="17" t="str">
        <f>IF(OR(C253="Bullpen",C253="Game"),IFERROR(INDEX(Reference!$B$61:$B$62,MATCH(C253,Reference!$A$61:$A$62,0)),""),IF(D253="","",VLOOKUP(D253,Reference!$A$6:$B$11,2,TRUE())))</f>
        <v/>
      </c>
      <c r="P253" s="17" t="str">
        <f>IF(N253="","",VLOOKUP(MAX(N253,0),Reference!$A$17:$B$20,2,TRUE()))</f>
        <v/>
      </c>
      <c r="Q253" s="17" t="str">
        <f>IF(AND(OR(I253="",O253="",P253=""),OR(R253="",W253=""),OR(X253="",AC253="")),"",IF(OR(I253="",O253="",P253=""),0,I253*O253*P253)+IF(OR(R253="",W253=""),0,R253*IFERROR(INDEX(Reference!$B$61:$B$62,MATCH("Bullpen",Reference!$A$61:$A$62,0)),0)*W253)+IF(OR(X253="",AC253=""),0,X253*VLOOKUP(60,Reference!$A$6:$B$11,2,TRUE())*AC253))</f>
        <v/>
      </c>
      <c r="R253" s="16"/>
      <c r="S253" s="16"/>
      <c r="T253" s="16"/>
      <c r="U253" s="17" t="str">
        <f t="shared" si="24"/>
        <v/>
      </c>
      <c r="V253" s="17" t="str">
        <f t="shared" si="25"/>
        <v/>
      </c>
      <c r="W253" s="17" t="str">
        <f>IF(V253="","",VLOOKUP(MAX(V253,0),Reference!$A$17:$B$20,2,TRUE()))</f>
        <v/>
      </c>
      <c r="X253" s="16"/>
      <c r="Y253" s="16"/>
      <c r="Z253" s="16"/>
      <c r="AA253" s="17" t="str">
        <f t="shared" si="26"/>
        <v/>
      </c>
      <c r="AB253" s="17" t="str">
        <f t="shared" si="27"/>
        <v/>
      </c>
      <c r="AC253" s="17" t="str">
        <f>IF(AB253="","",VLOOKUP(MAX(AB253,0),Reference!$A$17:$B$20,2,TRUE()))</f>
        <v/>
      </c>
      <c r="AD253" s="16"/>
    </row>
    <row r="254" spans="1:30" x14ac:dyDescent="0.3">
      <c r="A254" s="19"/>
      <c r="B254" s="16"/>
      <c r="C254" s="16"/>
      <c r="D254" s="16"/>
      <c r="E254" s="18"/>
      <c r="F254" s="18"/>
      <c r="G254" s="15" t="str">
        <f t="shared" si="21"/>
        <v/>
      </c>
      <c r="H254" s="16"/>
      <c r="I254" s="17" t="str">
        <f>IF(H254&lt;&gt;"",H254,IF(G254="","",ROUND(G254*IFERROR(INDEX(Reference!$B$44:$B$50,MATCH(C254,Reference!$A$44:$A$50,0)),0),0)))</f>
        <v/>
      </c>
      <c r="J254" s="16"/>
      <c r="K254" s="16"/>
      <c r="L254" s="17" t="str">
        <f t="shared" si="22"/>
        <v/>
      </c>
      <c r="M254" s="17" t="str">
        <f>IFERROR(INDEX(Roster!$D$5:$D$40,MATCH(B254,Roster!$A$5:$A$40,0)),"")</f>
        <v/>
      </c>
      <c r="N254" s="17" t="str">
        <f t="shared" si="23"/>
        <v/>
      </c>
      <c r="O254" s="17" t="str">
        <f>IF(OR(C254="Bullpen",C254="Game"),IFERROR(INDEX(Reference!$B$61:$B$62,MATCH(C254,Reference!$A$61:$A$62,0)),""),IF(D254="","",VLOOKUP(D254,Reference!$A$6:$B$11,2,TRUE())))</f>
        <v/>
      </c>
      <c r="P254" s="17" t="str">
        <f>IF(N254="","",VLOOKUP(MAX(N254,0),Reference!$A$17:$B$20,2,TRUE()))</f>
        <v/>
      </c>
      <c r="Q254" s="17" t="str">
        <f>IF(AND(OR(I254="",O254="",P254=""),OR(R254="",W254=""),OR(X254="",AC254="")),"",IF(OR(I254="",O254="",P254=""),0,I254*O254*P254)+IF(OR(R254="",W254=""),0,R254*IFERROR(INDEX(Reference!$B$61:$B$62,MATCH("Bullpen",Reference!$A$61:$A$62,0)),0)*W254)+IF(OR(X254="",AC254=""),0,X254*VLOOKUP(60,Reference!$A$6:$B$11,2,TRUE())*AC254))</f>
        <v/>
      </c>
      <c r="R254" s="16"/>
      <c r="S254" s="16"/>
      <c r="T254" s="16"/>
      <c r="U254" s="17" t="str">
        <f t="shared" si="24"/>
        <v/>
      </c>
      <c r="V254" s="17" t="str">
        <f t="shared" si="25"/>
        <v/>
      </c>
      <c r="W254" s="17" t="str">
        <f>IF(V254="","",VLOOKUP(MAX(V254,0),Reference!$A$17:$B$20,2,TRUE()))</f>
        <v/>
      </c>
      <c r="X254" s="16"/>
      <c r="Y254" s="16"/>
      <c r="Z254" s="16"/>
      <c r="AA254" s="17" t="str">
        <f t="shared" si="26"/>
        <v/>
      </c>
      <c r="AB254" s="17" t="str">
        <f t="shared" si="27"/>
        <v/>
      </c>
      <c r="AC254" s="17" t="str">
        <f>IF(AB254="","",VLOOKUP(MAX(AB254,0),Reference!$A$17:$B$20,2,TRUE()))</f>
        <v/>
      </c>
      <c r="AD254" s="16"/>
    </row>
    <row r="255" spans="1:30" x14ac:dyDescent="0.3">
      <c r="A255" s="19"/>
      <c r="B255" s="16"/>
      <c r="C255" s="16"/>
      <c r="D255" s="16"/>
      <c r="E255" s="18"/>
      <c r="F255" s="18"/>
      <c r="G255" s="15" t="str">
        <f t="shared" si="21"/>
        <v/>
      </c>
      <c r="H255" s="16"/>
      <c r="I255" s="17" t="str">
        <f>IF(H255&lt;&gt;"",H255,IF(G255="","",ROUND(G255*IFERROR(INDEX(Reference!$B$44:$B$50,MATCH(C255,Reference!$A$44:$A$50,0)),0),0)))</f>
        <v/>
      </c>
      <c r="J255" s="16"/>
      <c r="K255" s="16"/>
      <c r="L255" s="17" t="str">
        <f t="shared" si="22"/>
        <v/>
      </c>
      <c r="M255" s="17" t="str">
        <f>IFERROR(INDEX(Roster!$D$5:$D$40,MATCH(B255,Roster!$A$5:$A$40,0)),"")</f>
        <v/>
      </c>
      <c r="N255" s="17" t="str">
        <f t="shared" si="23"/>
        <v/>
      </c>
      <c r="O255" s="17" t="str">
        <f>IF(OR(C255="Bullpen",C255="Game"),IFERROR(INDEX(Reference!$B$61:$B$62,MATCH(C255,Reference!$A$61:$A$62,0)),""),IF(D255="","",VLOOKUP(D255,Reference!$A$6:$B$11,2,TRUE())))</f>
        <v/>
      </c>
      <c r="P255" s="17" t="str">
        <f>IF(N255="","",VLOOKUP(MAX(N255,0),Reference!$A$17:$B$20,2,TRUE()))</f>
        <v/>
      </c>
      <c r="Q255" s="17" t="str">
        <f>IF(AND(OR(I255="",O255="",P255=""),OR(R255="",W255=""),OR(X255="",AC255="")),"",IF(OR(I255="",O255="",P255=""),0,I255*O255*P255)+IF(OR(R255="",W255=""),0,R255*IFERROR(INDEX(Reference!$B$61:$B$62,MATCH("Bullpen",Reference!$A$61:$A$62,0)),0)*W255)+IF(OR(X255="",AC255=""),0,X255*VLOOKUP(60,Reference!$A$6:$B$11,2,TRUE())*AC255))</f>
        <v/>
      </c>
      <c r="R255" s="16"/>
      <c r="S255" s="16"/>
      <c r="T255" s="16"/>
      <c r="U255" s="17" t="str">
        <f t="shared" si="24"/>
        <v/>
      </c>
      <c r="V255" s="17" t="str">
        <f t="shared" si="25"/>
        <v/>
      </c>
      <c r="W255" s="17" t="str">
        <f>IF(V255="","",VLOOKUP(MAX(V255,0),Reference!$A$17:$B$20,2,TRUE()))</f>
        <v/>
      </c>
      <c r="X255" s="16"/>
      <c r="Y255" s="16"/>
      <c r="Z255" s="16"/>
      <c r="AA255" s="17" t="str">
        <f t="shared" si="26"/>
        <v/>
      </c>
      <c r="AB255" s="17" t="str">
        <f t="shared" si="27"/>
        <v/>
      </c>
      <c r="AC255" s="17" t="str">
        <f>IF(AB255="","",VLOOKUP(MAX(AB255,0),Reference!$A$17:$B$20,2,TRUE()))</f>
        <v/>
      </c>
      <c r="AD255" s="16"/>
    </row>
    <row r="256" spans="1:30" x14ac:dyDescent="0.3">
      <c r="A256" s="19"/>
      <c r="B256" s="16"/>
      <c r="C256" s="16"/>
      <c r="D256" s="16"/>
      <c r="E256" s="18"/>
      <c r="F256" s="18"/>
      <c r="G256" s="15" t="str">
        <f t="shared" si="21"/>
        <v/>
      </c>
      <c r="H256" s="16"/>
      <c r="I256" s="17" t="str">
        <f>IF(H256&lt;&gt;"",H256,IF(G256="","",ROUND(G256*IFERROR(INDEX(Reference!$B$44:$B$50,MATCH(C256,Reference!$A$44:$A$50,0)),0),0)))</f>
        <v/>
      </c>
      <c r="J256" s="16"/>
      <c r="K256" s="16"/>
      <c r="L256" s="17" t="str">
        <f t="shared" si="22"/>
        <v/>
      </c>
      <c r="M256" s="17" t="str">
        <f>IFERROR(INDEX(Roster!$D$5:$D$40,MATCH(B256,Roster!$A$5:$A$40,0)),"")</f>
        <v/>
      </c>
      <c r="N256" s="17" t="str">
        <f t="shared" si="23"/>
        <v/>
      </c>
      <c r="O256" s="17" t="str">
        <f>IF(OR(C256="Bullpen",C256="Game"),IFERROR(INDEX(Reference!$B$61:$B$62,MATCH(C256,Reference!$A$61:$A$62,0)),""),IF(D256="","",VLOOKUP(D256,Reference!$A$6:$B$11,2,TRUE())))</f>
        <v/>
      </c>
      <c r="P256" s="17" t="str">
        <f>IF(N256="","",VLOOKUP(MAX(N256,0),Reference!$A$17:$B$20,2,TRUE()))</f>
        <v/>
      </c>
      <c r="Q256" s="17" t="str">
        <f>IF(AND(OR(I256="",O256="",P256=""),OR(R256="",W256=""),OR(X256="",AC256="")),"",IF(OR(I256="",O256="",P256=""),0,I256*O256*P256)+IF(OR(R256="",W256=""),0,R256*IFERROR(INDEX(Reference!$B$61:$B$62,MATCH("Bullpen",Reference!$A$61:$A$62,0)),0)*W256)+IF(OR(X256="",AC256=""),0,X256*VLOOKUP(60,Reference!$A$6:$B$11,2,TRUE())*AC256))</f>
        <v/>
      </c>
      <c r="R256" s="16"/>
      <c r="S256" s="16"/>
      <c r="T256" s="16"/>
      <c r="U256" s="17" t="str">
        <f t="shared" si="24"/>
        <v/>
      </c>
      <c r="V256" s="17" t="str">
        <f t="shared" si="25"/>
        <v/>
      </c>
      <c r="W256" s="17" t="str">
        <f>IF(V256="","",VLOOKUP(MAX(V256,0),Reference!$A$17:$B$20,2,TRUE()))</f>
        <v/>
      </c>
      <c r="X256" s="16"/>
      <c r="Y256" s="16"/>
      <c r="Z256" s="16"/>
      <c r="AA256" s="17" t="str">
        <f t="shared" si="26"/>
        <v/>
      </c>
      <c r="AB256" s="17" t="str">
        <f t="shared" si="27"/>
        <v/>
      </c>
      <c r="AC256" s="17" t="str">
        <f>IF(AB256="","",VLOOKUP(MAX(AB256,0),Reference!$A$17:$B$20,2,TRUE()))</f>
        <v/>
      </c>
      <c r="AD256" s="16"/>
    </row>
    <row r="257" spans="1:30" x14ac:dyDescent="0.3">
      <c r="A257" s="19"/>
      <c r="B257" s="16"/>
      <c r="C257" s="16"/>
      <c r="D257" s="16"/>
      <c r="E257" s="18"/>
      <c r="F257" s="18"/>
      <c r="G257" s="15" t="str">
        <f t="shared" si="21"/>
        <v/>
      </c>
      <c r="H257" s="16"/>
      <c r="I257" s="17" t="str">
        <f>IF(H257&lt;&gt;"",H257,IF(G257="","",ROUND(G257*IFERROR(INDEX(Reference!$B$44:$B$50,MATCH(C257,Reference!$A$44:$A$50,0)),0),0)))</f>
        <v/>
      </c>
      <c r="J257" s="16"/>
      <c r="K257" s="16"/>
      <c r="L257" s="17" t="str">
        <f t="shared" si="22"/>
        <v/>
      </c>
      <c r="M257" s="17" t="str">
        <f>IFERROR(INDEX(Roster!$D$5:$D$40,MATCH(B257,Roster!$A$5:$A$40,0)),"")</f>
        <v/>
      </c>
      <c r="N257" s="17" t="str">
        <f t="shared" si="23"/>
        <v/>
      </c>
      <c r="O257" s="17" t="str">
        <f>IF(OR(C257="Bullpen",C257="Game"),IFERROR(INDEX(Reference!$B$61:$B$62,MATCH(C257,Reference!$A$61:$A$62,0)),""),IF(D257="","",VLOOKUP(D257,Reference!$A$6:$B$11,2,TRUE())))</f>
        <v/>
      </c>
      <c r="P257" s="17" t="str">
        <f>IF(N257="","",VLOOKUP(MAX(N257,0),Reference!$A$17:$B$20,2,TRUE()))</f>
        <v/>
      </c>
      <c r="Q257" s="17" t="str">
        <f>IF(AND(OR(I257="",O257="",P257=""),OR(R257="",W257=""),OR(X257="",AC257="")),"",IF(OR(I257="",O257="",P257=""),0,I257*O257*P257)+IF(OR(R257="",W257=""),0,R257*IFERROR(INDEX(Reference!$B$61:$B$62,MATCH("Bullpen",Reference!$A$61:$A$62,0)),0)*W257)+IF(OR(X257="",AC257=""),0,X257*VLOOKUP(60,Reference!$A$6:$B$11,2,TRUE())*AC257))</f>
        <v/>
      </c>
      <c r="R257" s="16"/>
      <c r="S257" s="16"/>
      <c r="T257" s="16"/>
      <c r="U257" s="17" t="str">
        <f t="shared" si="24"/>
        <v/>
      </c>
      <c r="V257" s="17" t="str">
        <f t="shared" si="25"/>
        <v/>
      </c>
      <c r="W257" s="17" t="str">
        <f>IF(V257="","",VLOOKUP(MAX(V257,0),Reference!$A$17:$B$20,2,TRUE()))</f>
        <v/>
      </c>
      <c r="X257" s="16"/>
      <c r="Y257" s="16"/>
      <c r="Z257" s="16"/>
      <c r="AA257" s="17" t="str">
        <f t="shared" si="26"/>
        <v/>
      </c>
      <c r="AB257" s="17" t="str">
        <f t="shared" si="27"/>
        <v/>
      </c>
      <c r="AC257" s="17" t="str">
        <f>IF(AB257="","",VLOOKUP(MAX(AB257,0),Reference!$A$17:$B$20,2,TRUE()))</f>
        <v/>
      </c>
      <c r="AD257" s="16"/>
    </row>
    <row r="258" spans="1:30" x14ac:dyDescent="0.3">
      <c r="A258" s="19"/>
      <c r="B258" s="16"/>
      <c r="C258" s="16"/>
      <c r="D258" s="16"/>
      <c r="E258" s="18"/>
      <c r="F258" s="18"/>
      <c r="G258" s="15" t="str">
        <f t="shared" si="21"/>
        <v/>
      </c>
      <c r="H258" s="16"/>
      <c r="I258" s="17" t="str">
        <f>IF(H258&lt;&gt;"",H258,IF(G258="","",ROUND(G258*IFERROR(INDEX(Reference!$B$44:$B$50,MATCH(C258,Reference!$A$44:$A$50,0)),0),0)))</f>
        <v/>
      </c>
      <c r="J258" s="16"/>
      <c r="K258" s="16"/>
      <c r="L258" s="17" t="str">
        <f t="shared" si="22"/>
        <v/>
      </c>
      <c r="M258" s="17" t="str">
        <f>IFERROR(INDEX(Roster!$D$5:$D$40,MATCH(B258,Roster!$A$5:$A$40,0)),"")</f>
        <v/>
      </c>
      <c r="N258" s="17" t="str">
        <f t="shared" si="23"/>
        <v/>
      </c>
      <c r="O258" s="17" t="str">
        <f>IF(OR(C258="Bullpen",C258="Game"),IFERROR(INDEX(Reference!$B$61:$B$62,MATCH(C258,Reference!$A$61:$A$62,0)),""),IF(D258="","",VLOOKUP(D258,Reference!$A$6:$B$11,2,TRUE())))</f>
        <v/>
      </c>
      <c r="P258" s="17" t="str">
        <f>IF(N258="","",VLOOKUP(MAX(N258,0),Reference!$A$17:$B$20,2,TRUE()))</f>
        <v/>
      </c>
      <c r="Q258" s="17" t="str">
        <f>IF(AND(OR(I258="",O258="",P258=""),OR(R258="",W258=""),OR(X258="",AC258="")),"",IF(OR(I258="",O258="",P258=""),0,I258*O258*P258)+IF(OR(R258="",W258=""),0,R258*IFERROR(INDEX(Reference!$B$61:$B$62,MATCH("Bullpen",Reference!$A$61:$A$62,0)),0)*W258)+IF(OR(X258="",AC258=""),0,X258*VLOOKUP(60,Reference!$A$6:$B$11,2,TRUE())*AC258))</f>
        <v/>
      </c>
      <c r="R258" s="16"/>
      <c r="S258" s="16"/>
      <c r="T258" s="16"/>
      <c r="U258" s="17" t="str">
        <f t="shared" si="24"/>
        <v/>
      </c>
      <c r="V258" s="17" t="str">
        <f t="shared" si="25"/>
        <v/>
      </c>
      <c r="W258" s="17" t="str">
        <f>IF(V258="","",VLOOKUP(MAX(V258,0),Reference!$A$17:$B$20,2,TRUE()))</f>
        <v/>
      </c>
      <c r="X258" s="16"/>
      <c r="Y258" s="16"/>
      <c r="Z258" s="16"/>
      <c r="AA258" s="17" t="str">
        <f t="shared" si="26"/>
        <v/>
      </c>
      <c r="AB258" s="17" t="str">
        <f t="shared" si="27"/>
        <v/>
      </c>
      <c r="AC258" s="17" t="str">
        <f>IF(AB258="","",VLOOKUP(MAX(AB258,0),Reference!$A$17:$B$20,2,TRUE()))</f>
        <v/>
      </c>
      <c r="AD258" s="16"/>
    </row>
    <row r="259" spans="1:30" x14ac:dyDescent="0.3">
      <c r="A259" s="19"/>
      <c r="B259" s="16"/>
      <c r="C259" s="16"/>
      <c r="D259" s="16"/>
      <c r="E259" s="18"/>
      <c r="F259" s="18"/>
      <c r="G259" s="15" t="str">
        <f t="shared" si="21"/>
        <v/>
      </c>
      <c r="H259" s="16"/>
      <c r="I259" s="17" t="str">
        <f>IF(H259&lt;&gt;"",H259,IF(G259="","",ROUND(G259*IFERROR(INDEX(Reference!$B$44:$B$50,MATCH(C259,Reference!$A$44:$A$50,0)),0),0)))</f>
        <v/>
      </c>
      <c r="J259" s="16"/>
      <c r="K259" s="16"/>
      <c r="L259" s="17" t="str">
        <f t="shared" si="22"/>
        <v/>
      </c>
      <c r="M259" s="17" t="str">
        <f>IFERROR(INDEX(Roster!$D$5:$D$40,MATCH(B259,Roster!$A$5:$A$40,0)),"")</f>
        <v/>
      </c>
      <c r="N259" s="17" t="str">
        <f t="shared" si="23"/>
        <v/>
      </c>
      <c r="O259" s="17" t="str">
        <f>IF(OR(C259="Bullpen",C259="Game"),IFERROR(INDEX(Reference!$B$61:$B$62,MATCH(C259,Reference!$A$61:$A$62,0)),""),IF(D259="","",VLOOKUP(D259,Reference!$A$6:$B$11,2,TRUE())))</f>
        <v/>
      </c>
      <c r="P259" s="17" t="str">
        <f>IF(N259="","",VLOOKUP(MAX(N259,0),Reference!$A$17:$B$20,2,TRUE()))</f>
        <v/>
      </c>
      <c r="Q259" s="17" t="str">
        <f>IF(AND(OR(I259="",O259="",P259=""),OR(R259="",W259=""),OR(X259="",AC259="")),"",IF(OR(I259="",O259="",P259=""),0,I259*O259*P259)+IF(OR(R259="",W259=""),0,R259*IFERROR(INDEX(Reference!$B$61:$B$62,MATCH("Bullpen",Reference!$A$61:$A$62,0)),0)*W259)+IF(OR(X259="",AC259=""),0,X259*VLOOKUP(60,Reference!$A$6:$B$11,2,TRUE())*AC259))</f>
        <v/>
      </c>
      <c r="R259" s="16"/>
      <c r="S259" s="16"/>
      <c r="T259" s="16"/>
      <c r="U259" s="17" t="str">
        <f t="shared" si="24"/>
        <v/>
      </c>
      <c r="V259" s="17" t="str">
        <f t="shared" si="25"/>
        <v/>
      </c>
      <c r="W259" s="17" t="str">
        <f>IF(V259="","",VLOOKUP(MAX(V259,0),Reference!$A$17:$B$20,2,TRUE()))</f>
        <v/>
      </c>
      <c r="X259" s="16"/>
      <c r="Y259" s="16"/>
      <c r="Z259" s="16"/>
      <c r="AA259" s="17" t="str">
        <f t="shared" si="26"/>
        <v/>
      </c>
      <c r="AB259" s="17" t="str">
        <f t="shared" si="27"/>
        <v/>
      </c>
      <c r="AC259" s="17" t="str">
        <f>IF(AB259="","",VLOOKUP(MAX(AB259,0),Reference!$A$17:$B$20,2,TRUE()))</f>
        <v/>
      </c>
      <c r="AD259" s="16"/>
    </row>
    <row r="260" spans="1:30" x14ac:dyDescent="0.3">
      <c r="A260" s="19"/>
      <c r="B260" s="16"/>
      <c r="C260" s="16"/>
      <c r="D260" s="16"/>
      <c r="E260" s="18"/>
      <c r="F260" s="18"/>
      <c r="G260" s="15" t="str">
        <f t="shared" si="21"/>
        <v/>
      </c>
      <c r="H260" s="16"/>
      <c r="I260" s="17" t="str">
        <f>IF(H260&lt;&gt;"",H260,IF(G260="","",ROUND(G260*IFERROR(INDEX(Reference!$B$44:$B$50,MATCH(C260,Reference!$A$44:$A$50,0)),0),0)))</f>
        <v/>
      </c>
      <c r="J260" s="16"/>
      <c r="K260" s="16"/>
      <c r="L260" s="17" t="str">
        <f t="shared" si="22"/>
        <v/>
      </c>
      <c r="M260" s="17" t="str">
        <f>IFERROR(INDEX(Roster!$D$5:$D$40,MATCH(B260,Roster!$A$5:$A$40,0)),"")</f>
        <v/>
      </c>
      <c r="N260" s="17" t="str">
        <f t="shared" si="23"/>
        <v/>
      </c>
      <c r="O260" s="17" t="str">
        <f>IF(OR(C260="Bullpen",C260="Game"),IFERROR(INDEX(Reference!$B$61:$B$62,MATCH(C260,Reference!$A$61:$A$62,0)),""),IF(D260="","",VLOOKUP(D260,Reference!$A$6:$B$11,2,TRUE())))</f>
        <v/>
      </c>
      <c r="P260" s="17" t="str">
        <f>IF(N260="","",VLOOKUP(MAX(N260,0),Reference!$A$17:$B$20,2,TRUE()))</f>
        <v/>
      </c>
      <c r="Q260" s="17" t="str">
        <f>IF(AND(OR(I260="",O260="",P260=""),OR(R260="",W260=""),OR(X260="",AC260="")),"",IF(OR(I260="",O260="",P260=""),0,I260*O260*P260)+IF(OR(R260="",W260=""),0,R260*IFERROR(INDEX(Reference!$B$61:$B$62,MATCH("Bullpen",Reference!$A$61:$A$62,0)),0)*W260)+IF(OR(X260="",AC260=""),0,X260*VLOOKUP(60,Reference!$A$6:$B$11,2,TRUE())*AC260))</f>
        <v/>
      </c>
      <c r="R260" s="16"/>
      <c r="S260" s="16"/>
      <c r="T260" s="16"/>
      <c r="U260" s="17" t="str">
        <f t="shared" si="24"/>
        <v/>
      </c>
      <c r="V260" s="17" t="str">
        <f t="shared" si="25"/>
        <v/>
      </c>
      <c r="W260" s="17" t="str">
        <f>IF(V260="","",VLOOKUP(MAX(V260,0),Reference!$A$17:$B$20,2,TRUE()))</f>
        <v/>
      </c>
      <c r="X260" s="16"/>
      <c r="Y260" s="16"/>
      <c r="Z260" s="16"/>
      <c r="AA260" s="17" t="str">
        <f t="shared" si="26"/>
        <v/>
      </c>
      <c r="AB260" s="17" t="str">
        <f t="shared" si="27"/>
        <v/>
      </c>
      <c r="AC260" s="17" t="str">
        <f>IF(AB260="","",VLOOKUP(MAX(AB260,0),Reference!$A$17:$B$20,2,TRUE()))</f>
        <v/>
      </c>
      <c r="AD260" s="16"/>
    </row>
    <row r="261" spans="1:30" x14ac:dyDescent="0.3">
      <c r="A261" s="19"/>
      <c r="B261" s="16"/>
      <c r="C261" s="16"/>
      <c r="D261" s="16"/>
      <c r="E261" s="18"/>
      <c r="F261" s="18"/>
      <c r="G261" s="15" t="str">
        <f t="shared" ref="G261:G300" si="28">IF(OR(E261="",F261=""),"",(F261-E261)*1440)</f>
        <v/>
      </c>
      <c r="H261" s="16"/>
      <c r="I261" s="17" t="str">
        <f>IF(H261&lt;&gt;"",H261,IF(G261="","",ROUND(G261*IFERROR(INDEX(Reference!$B$44:$B$50,MATCH(C261,Reference!$A$44:$A$50,0)),0),0)))</f>
        <v/>
      </c>
      <c r="J261" s="16"/>
      <c r="K261" s="16"/>
      <c r="L261" s="17" t="str">
        <f t="shared" ref="L261:L300" si="29">IF(J261="","",IF(K261="",J261,AVERAGE(J261,K261)))</f>
        <v/>
      </c>
      <c r="M261" s="17" t="str">
        <f>IFERROR(INDEX(Roster!$D$5:$D$40,MATCH(B261,Roster!$A$5:$A$40,0)),"")</f>
        <v/>
      </c>
      <c r="N261" s="17" t="str">
        <f t="shared" ref="N261:N300" si="30">IF(OR(L261="",M261="",M261=0),"",M261-L261)</f>
        <v/>
      </c>
      <c r="O261" s="17" t="str">
        <f>IF(OR(C261="Bullpen",C261="Game"),IFERROR(INDEX(Reference!$B$61:$B$62,MATCH(C261,Reference!$A$61:$A$62,0)),""),IF(D261="","",VLOOKUP(D261,Reference!$A$6:$B$11,2,TRUE())))</f>
        <v/>
      </c>
      <c r="P261" s="17" t="str">
        <f>IF(N261="","",VLOOKUP(MAX(N261,0),Reference!$A$17:$B$20,2,TRUE()))</f>
        <v/>
      </c>
      <c r="Q261" s="17" t="str">
        <f>IF(AND(OR(I261="",O261="",P261=""),OR(R261="",W261=""),OR(X261="",AC261="")),"",IF(OR(I261="",O261="",P261=""),0,I261*O261*P261)+IF(OR(R261="",W261=""),0,R261*IFERROR(INDEX(Reference!$B$61:$B$62,MATCH("Bullpen",Reference!$A$61:$A$62,0)),0)*W261)+IF(OR(X261="",AC261=""),0,X261*VLOOKUP(60,Reference!$A$6:$B$11,2,TRUE())*AC261))</f>
        <v/>
      </c>
      <c r="R261" s="16"/>
      <c r="S261" s="16"/>
      <c r="T261" s="16"/>
      <c r="U261" s="17" t="str">
        <f t="shared" ref="U261:U300" si="31">IF(S261="","",IF(T261="",S261,AVERAGE(S261,T261)))</f>
        <v/>
      </c>
      <c r="V261" s="17" t="str">
        <f t="shared" ref="V261:V300" si="32">IF(OR(U261="",M261="",M261=0),"",M261-U261)</f>
        <v/>
      </c>
      <c r="W261" s="17" t="str">
        <f>IF(V261="","",VLOOKUP(MAX(V261,0),Reference!$A$17:$B$20,2,TRUE()))</f>
        <v/>
      </c>
      <c r="X261" s="16"/>
      <c r="Y261" s="16"/>
      <c r="Z261" s="16"/>
      <c r="AA261" s="17" t="str">
        <f t="shared" ref="AA261:AA300" si="33">IF(Y261="","",IF(Z261="",Y261,AVERAGE(Y261,Z261)))</f>
        <v/>
      </c>
      <c r="AB261" s="17" t="str">
        <f t="shared" ref="AB261:AB300" si="34">IF(OR(AA261="",M261="",M261=0),"",M261-AA261)</f>
        <v/>
      </c>
      <c r="AC261" s="17" t="str">
        <f>IF(AB261="","",VLOOKUP(MAX(AB261,0),Reference!$A$17:$B$20,2,TRUE()))</f>
        <v/>
      </c>
      <c r="AD261" s="16"/>
    </row>
    <row r="262" spans="1:30" x14ac:dyDescent="0.3">
      <c r="A262" s="19"/>
      <c r="B262" s="16"/>
      <c r="C262" s="16"/>
      <c r="D262" s="16"/>
      <c r="E262" s="18"/>
      <c r="F262" s="18"/>
      <c r="G262" s="15" t="str">
        <f t="shared" si="28"/>
        <v/>
      </c>
      <c r="H262" s="16"/>
      <c r="I262" s="17" t="str">
        <f>IF(H262&lt;&gt;"",H262,IF(G262="","",ROUND(G262*IFERROR(INDEX(Reference!$B$44:$B$50,MATCH(C262,Reference!$A$44:$A$50,0)),0),0)))</f>
        <v/>
      </c>
      <c r="J262" s="16"/>
      <c r="K262" s="16"/>
      <c r="L262" s="17" t="str">
        <f t="shared" si="29"/>
        <v/>
      </c>
      <c r="M262" s="17" t="str">
        <f>IFERROR(INDEX(Roster!$D$5:$D$40,MATCH(B262,Roster!$A$5:$A$40,0)),"")</f>
        <v/>
      </c>
      <c r="N262" s="17" t="str">
        <f t="shared" si="30"/>
        <v/>
      </c>
      <c r="O262" s="17" t="str">
        <f>IF(OR(C262="Bullpen",C262="Game"),IFERROR(INDEX(Reference!$B$61:$B$62,MATCH(C262,Reference!$A$61:$A$62,0)),""),IF(D262="","",VLOOKUP(D262,Reference!$A$6:$B$11,2,TRUE())))</f>
        <v/>
      </c>
      <c r="P262" s="17" t="str">
        <f>IF(N262="","",VLOOKUP(MAX(N262,0),Reference!$A$17:$B$20,2,TRUE()))</f>
        <v/>
      </c>
      <c r="Q262" s="17" t="str">
        <f>IF(AND(OR(I262="",O262="",P262=""),OR(R262="",W262=""),OR(X262="",AC262="")),"",IF(OR(I262="",O262="",P262=""),0,I262*O262*P262)+IF(OR(R262="",W262=""),0,R262*IFERROR(INDEX(Reference!$B$61:$B$62,MATCH("Bullpen",Reference!$A$61:$A$62,0)),0)*W262)+IF(OR(X262="",AC262=""),0,X262*VLOOKUP(60,Reference!$A$6:$B$11,2,TRUE())*AC262))</f>
        <v/>
      </c>
      <c r="R262" s="16"/>
      <c r="S262" s="16"/>
      <c r="T262" s="16"/>
      <c r="U262" s="17" t="str">
        <f t="shared" si="31"/>
        <v/>
      </c>
      <c r="V262" s="17" t="str">
        <f t="shared" si="32"/>
        <v/>
      </c>
      <c r="W262" s="17" t="str">
        <f>IF(V262="","",VLOOKUP(MAX(V262,0),Reference!$A$17:$B$20,2,TRUE()))</f>
        <v/>
      </c>
      <c r="X262" s="16"/>
      <c r="Y262" s="16"/>
      <c r="Z262" s="16"/>
      <c r="AA262" s="17" t="str">
        <f t="shared" si="33"/>
        <v/>
      </c>
      <c r="AB262" s="17" t="str">
        <f t="shared" si="34"/>
        <v/>
      </c>
      <c r="AC262" s="17" t="str">
        <f>IF(AB262="","",VLOOKUP(MAX(AB262,0),Reference!$A$17:$B$20,2,TRUE()))</f>
        <v/>
      </c>
      <c r="AD262" s="16"/>
    </row>
    <row r="263" spans="1:30" x14ac:dyDescent="0.3">
      <c r="A263" s="19"/>
      <c r="B263" s="16"/>
      <c r="C263" s="16"/>
      <c r="D263" s="16"/>
      <c r="E263" s="18"/>
      <c r="F263" s="18"/>
      <c r="G263" s="15" t="str">
        <f t="shared" si="28"/>
        <v/>
      </c>
      <c r="H263" s="16"/>
      <c r="I263" s="17" t="str">
        <f>IF(H263&lt;&gt;"",H263,IF(G263="","",ROUND(G263*IFERROR(INDEX(Reference!$B$44:$B$50,MATCH(C263,Reference!$A$44:$A$50,0)),0),0)))</f>
        <v/>
      </c>
      <c r="J263" s="16"/>
      <c r="K263" s="16"/>
      <c r="L263" s="17" t="str">
        <f t="shared" si="29"/>
        <v/>
      </c>
      <c r="M263" s="17" t="str">
        <f>IFERROR(INDEX(Roster!$D$5:$D$40,MATCH(B263,Roster!$A$5:$A$40,0)),"")</f>
        <v/>
      </c>
      <c r="N263" s="17" t="str">
        <f t="shared" si="30"/>
        <v/>
      </c>
      <c r="O263" s="17" t="str">
        <f>IF(OR(C263="Bullpen",C263="Game"),IFERROR(INDEX(Reference!$B$61:$B$62,MATCH(C263,Reference!$A$61:$A$62,0)),""),IF(D263="","",VLOOKUP(D263,Reference!$A$6:$B$11,2,TRUE())))</f>
        <v/>
      </c>
      <c r="P263" s="17" t="str">
        <f>IF(N263="","",VLOOKUP(MAX(N263,0),Reference!$A$17:$B$20,2,TRUE()))</f>
        <v/>
      </c>
      <c r="Q263" s="17" t="str">
        <f>IF(AND(OR(I263="",O263="",P263=""),OR(R263="",W263=""),OR(X263="",AC263="")),"",IF(OR(I263="",O263="",P263=""),0,I263*O263*P263)+IF(OR(R263="",W263=""),0,R263*IFERROR(INDEX(Reference!$B$61:$B$62,MATCH("Bullpen",Reference!$A$61:$A$62,0)),0)*W263)+IF(OR(X263="",AC263=""),0,X263*VLOOKUP(60,Reference!$A$6:$B$11,2,TRUE())*AC263))</f>
        <v/>
      </c>
      <c r="R263" s="16"/>
      <c r="S263" s="16"/>
      <c r="T263" s="16"/>
      <c r="U263" s="17" t="str">
        <f t="shared" si="31"/>
        <v/>
      </c>
      <c r="V263" s="17" t="str">
        <f t="shared" si="32"/>
        <v/>
      </c>
      <c r="W263" s="17" t="str">
        <f>IF(V263="","",VLOOKUP(MAX(V263,0),Reference!$A$17:$B$20,2,TRUE()))</f>
        <v/>
      </c>
      <c r="X263" s="16"/>
      <c r="Y263" s="16"/>
      <c r="Z263" s="16"/>
      <c r="AA263" s="17" t="str">
        <f t="shared" si="33"/>
        <v/>
      </c>
      <c r="AB263" s="17" t="str">
        <f t="shared" si="34"/>
        <v/>
      </c>
      <c r="AC263" s="17" t="str">
        <f>IF(AB263="","",VLOOKUP(MAX(AB263,0),Reference!$A$17:$B$20,2,TRUE()))</f>
        <v/>
      </c>
      <c r="AD263" s="16"/>
    </row>
    <row r="264" spans="1:30" x14ac:dyDescent="0.3">
      <c r="A264" s="19"/>
      <c r="B264" s="16"/>
      <c r="C264" s="16"/>
      <c r="D264" s="16"/>
      <c r="E264" s="18"/>
      <c r="F264" s="18"/>
      <c r="G264" s="15" t="str">
        <f t="shared" si="28"/>
        <v/>
      </c>
      <c r="H264" s="16"/>
      <c r="I264" s="17" t="str">
        <f>IF(H264&lt;&gt;"",H264,IF(G264="","",ROUND(G264*IFERROR(INDEX(Reference!$B$44:$B$50,MATCH(C264,Reference!$A$44:$A$50,0)),0),0)))</f>
        <v/>
      </c>
      <c r="J264" s="16"/>
      <c r="K264" s="16"/>
      <c r="L264" s="17" t="str">
        <f t="shared" si="29"/>
        <v/>
      </c>
      <c r="M264" s="17" t="str">
        <f>IFERROR(INDEX(Roster!$D$5:$D$40,MATCH(B264,Roster!$A$5:$A$40,0)),"")</f>
        <v/>
      </c>
      <c r="N264" s="17" t="str">
        <f t="shared" si="30"/>
        <v/>
      </c>
      <c r="O264" s="17" t="str">
        <f>IF(OR(C264="Bullpen",C264="Game"),IFERROR(INDEX(Reference!$B$61:$B$62,MATCH(C264,Reference!$A$61:$A$62,0)),""),IF(D264="","",VLOOKUP(D264,Reference!$A$6:$B$11,2,TRUE())))</f>
        <v/>
      </c>
      <c r="P264" s="17" t="str">
        <f>IF(N264="","",VLOOKUP(MAX(N264,0),Reference!$A$17:$B$20,2,TRUE()))</f>
        <v/>
      </c>
      <c r="Q264" s="17" t="str">
        <f>IF(AND(OR(I264="",O264="",P264=""),OR(R264="",W264=""),OR(X264="",AC264="")),"",IF(OR(I264="",O264="",P264=""),0,I264*O264*P264)+IF(OR(R264="",W264=""),0,R264*IFERROR(INDEX(Reference!$B$61:$B$62,MATCH("Bullpen",Reference!$A$61:$A$62,0)),0)*W264)+IF(OR(X264="",AC264=""),0,X264*VLOOKUP(60,Reference!$A$6:$B$11,2,TRUE())*AC264))</f>
        <v/>
      </c>
      <c r="R264" s="16"/>
      <c r="S264" s="16"/>
      <c r="T264" s="16"/>
      <c r="U264" s="17" t="str">
        <f t="shared" si="31"/>
        <v/>
      </c>
      <c r="V264" s="17" t="str">
        <f t="shared" si="32"/>
        <v/>
      </c>
      <c r="W264" s="17" t="str">
        <f>IF(V264="","",VLOOKUP(MAX(V264,0),Reference!$A$17:$B$20,2,TRUE()))</f>
        <v/>
      </c>
      <c r="X264" s="16"/>
      <c r="Y264" s="16"/>
      <c r="Z264" s="16"/>
      <c r="AA264" s="17" t="str">
        <f t="shared" si="33"/>
        <v/>
      </c>
      <c r="AB264" s="17" t="str">
        <f t="shared" si="34"/>
        <v/>
      </c>
      <c r="AC264" s="17" t="str">
        <f>IF(AB264="","",VLOOKUP(MAX(AB264,0),Reference!$A$17:$B$20,2,TRUE()))</f>
        <v/>
      </c>
      <c r="AD264" s="16"/>
    </row>
    <row r="265" spans="1:30" x14ac:dyDescent="0.3">
      <c r="A265" s="19"/>
      <c r="B265" s="16"/>
      <c r="C265" s="16"/>
      <c r="D265" s="16"/>
      <c r="E265" s="18"/>
      <c r="F265" s="18"/>
      <c r="G265" s="15" t="str">
        <f t="shared" si="28"/>
        <v/>
      </c>
      <c r="H265" s="16"/>
      <c r="I265" s="17" t="str">
        <f>IF(H265&lt;&gt;"",H265,IF(G265="","",ROUND(G265*IFERROR(INDEX(Reference!$B$44:$B$50,MATCH(C265,Reference!$A$44:$A$50,0)),0),0)))</f>
        <v/>
      </c>
      <c r="J265" s="16"/>
      <c r="K265" s="16"/>
      <c r="L265" s="17" t="str">
        <f t="shared" si="29"/>
        <v/>
      </c>
      <c r="M265" s="17" t="str">
        <f>IFERROR(INDEX(Roster!$D$5:$D$40,MATCH(B265,Roster!$A$5:$A$40,0)),"")</f>
        <v/>
      </c>
      <c r="N265" s="17" t="str">
        <f t="shared" si="30"/>
        <v/>
      </c>
      <c r="O265" s="17" t="str">
        <f>IF(OR(C265="Bullpen",C265="Game"),IFERROR(INDEX(Reference!$B$61:$B$62,MATCH(C265,Reference!$A$61:$A$62,0)),""),IF(D265="","",VLOOKUP(D265,Reference!$A$6:$B$11,2,TRUE())))</f>
        <v/>
      </c>
      <c r="P265" s="17" t="str">
        <f>IF(N265="","",VLOOKUP(MAX(N265,0),Reference!$A$17:$B$20,2,TRUE()))</f>
        <v/>
      </c>
      <c r="Q265" s="17" t="str">
        <f>IF(AND(OR(I265="",O265="",P265=""),OR(R265="",W265=""),OR(X265="",AC265="")),"",IF(OR(I265="",O265="",P265=""),0,I265*O265*P265)+IF(OR(R265="",W265=""),0,R265*IFERROR(INDEX(Reference!$B$61:$B$62,MATCH("Bullpen",Reference!$A$61:$A$62,0)),0)*W265)+IF(OR(X265="",AC265=""),0,X265*VLOOKUP(60,Reference!$A$6:$B$11,2,TRUE())*AC265))</f>
        <v/>
      </c>
      <c r="R265" s="16"/>
      <c r="S265" s="16"/>
      <c r="T265" s="16"/>
      <c r="U265" s="17" t="str">
        <f t="shared" si="31"/>
        <v/>
      </c>
      <c r="V265" s="17" t="str">
        <f t="shared" si="32"/>
        <v/>
      </c>
      <c r="W265" s="17" t="str">
        <f>IF(V265="","",VLOOKUP(MAX(V265,0),Reference!$A$17:$B$20,2,TRUE()))</f>
        <v/>
      </c>
      <c r="X265" s="16"/>
      <c r="Y265" s="16"/>
      <c r="Z265" s="16"/>
      <c r="AA265" s="17" t="str">
        <f t="shared" si="33"/>
        <v/>
      </c>
      <c r="AB265" s="17" t="str">
        <f t="shared" si="34"/>
        <v/>
      </c>
      <c r="AC265" s="17" t="str">
        <f>IF(AB265="","",VLOOKUP(MAX(AB265,0),Reference!$A$17:$B$20,2,TRUE()))</f>
        <v/>
      </c>
      <c r="AD265" s="16"/>
    </row>
    <row r="266" spans="1:30" x14ac:dyDescent="0.3">
      <c r="A266" s="19"/>
      <c r="B266" s="16"/>
      <c r="C266" s="16"/>
      <c r="D266" s="16"/>
      <c r="E266" s="18"/>
      <c r="F266" s="18"/>
      <c r="G266" s="15" t="str">
        <f t="shared" si="28"/>
        <v/>
      </c>
      <c r="H266" s="16"/>
      <c r="I266" s="17" t="str">
        <f>IF(H266&lt;&gt;"",H266,IF(G266="","",ROUND(G266*IFERROR(INDEX(Reference!$B$44:$B$50,MATCH(C266,Reference!$A$44:$A$50,0)),0),0)))</f>
        <v/>
      </c>
      <c r="J266" s="16"/>
      <c r="K266" s="16"/>
      <c r="L266" s="17" t="str">
        <f t="shared" si="29"/>
        <v/>
      </c>
      <c r="M266" s="17" t="str">
        <f>IFERROR(INDEX(Roster!$D$5:$D$40,MATCH(B266,Roster!$A$5:$A$40,0)),"")</f>
        <v/>
      </c>
      <c r="N266" s="17" t="str">
        <f t="shared" si="30"/>
        <v/>
      </c>
      <c r="O266" s="17" t="str">
        <f>IF(OR(C266="Bullpen",C266="Game"),IFERROR(INDEX(Reference!$B$61:$B$62,MATCH(C266,Reference!$A$61:$A$62,0)),""),IF(D266="","",VLOOKUP(D266,Reference!$A$6:$B$11,2,TRUE())))</f>
        <v/>
      </c>
      <c r="P266" s="17" t="str">
        <f>IF(N266="","",VLOOKUP(MAX(N266,0),Reference!$A$17:$B$20,2,TRUE()))</f>
        <v/>
      </c>
      <c r="Q266" s="17" t="str">
        <f>IF(AND(OR(I266="",O266="",P266=""),OR(R266="",W266=""),OR(X266="",AC266="")),"",IF(OR(I266="",O266="",P266=""),0,I266*O266*P266)+IF(OR(R266="",W266=""),0,R266*IFERROR(INDEX(Reference!$B$61:$B$62,MATCH("Bullpen",Reference!$A$61:$A$62,0)),0)*W266)+IF(OR(X266="",AC266=""),0,X266*VLOOKUP(60,Reference!$A$6:$B$11,2,TRUE())*AC266))</f>
        <v/>
      </c>
      <c r="R266" s="16"/>
      <c r="S266" s="16"/>
      <c r="T266" s="16"/>
      <c r="U266" s="17" t="str">
        <f t="shared" si="31"/>
        <v/>
      </c>
      <c r="V266" s="17" t="str">
        <f t="shared" si="32"/>
        <v/>
      </c>
      <c r="W266" s="17" t="str">
        <f>IF(V266="","",VLOOKUP(MAX(V266,0),Reference!$A$17:$B$20,2,TRUE()))</f>
        <v/>
      </c>
      <c r="X266" s="16"/>
      <c r="Y266" s="16"/>
      <c r="Z266" s="16"/>
      <c r="AA266" s="17" t="str">
        <f t="shared" si="33"/>
        <v/>
      </c>
      <c r="AB266" s="17" t="str">
        <f t="shared" si="34"/>
        <v/>
      </c>
      <c r="AC266" s="17" t="str">
        <f>IF(AB266="","",VLOOKUP(MAX(AB266,0),Reference!$A$17:$B$20,2,TRUE()))</f>
        <v/>
      </c>
      <c r="AD266" s="16"/>
    </row>
    <row r="267" spans="1:30" x14ac:dyDescent="0.3">
      <c r="A267" s="19"/>
      <c r="B267" s="16"/>
      <c r="C267" s="16"/>
      <c r="D267" s="16"/>
      <c r="E267" s="18"/>
      <c r="F267" s="18"/>
      <c r="G267" s="15" t="str">
        <f t="shared" si="28"/>
        <v/>
      </c>
      <c r="H267" s="16"/>
      <c r="I267" s="17" t="str">
        <f>IF(H267&lt;&gt;"",H267,IF(G267="","",ROUND(G267*IFERROR(INDEX(Reference!$B$44:$B$50,MATCH(C267,Reference!$A$44:$A$50,0)),0),0)))</f>
        <v/>
      </c>
      <c r="J267" s="16"/>
      <c r="K267" s="16"/>
      <c r="L267" s="17" t="str">
        <f t="shared" si="29"/>
        <v/>
      </c>
      <c r="M267" s="17" t="str">
        <f>IFERROR(INDEX(Roster!$D$5:$D$40,MATCH(B267,Roster!$A$5:$A$40,0)),"")</f>
        <v/>
      </c>
      <c r="N267" s="17" t="str">
        <f t="shared" si="30"/>
        <v/>
      </c>
      <c r="O267" s="17" t="str">
        <f>IF(OR(C267="Bullpen",C267="Game"),IFERROR(INDEX(Reference!$B$61:$B$62,MATCH(C267,Reference!$A$61:$A$62,0)),""),IF(D267="","",VLOOKUP(D267,Reference!$A$6:$B$11,2,TRUE())))</f>
        <v/>
      </c>
      <c r="P267" s="17" t="str">
        <f>IF(N267="","",VLOOKUP(MAX(N267,0),Reference!$A$17:$B$20,2,TRUE()))</f>
        <v/>
      </c>
      <c r="Q267" s="17" t="str">
        <f>IF(AND(OR(I267="",O267="",P267=""),OR(R267="",W267=""),OR(X267="",AC267="")),"",IF(OR(I267="",O267="",P267=""),0,I267*O267*P267)+IF(OR(R267="",W267=""),0,R267*IFERROR(INDEX(Reference!$B$61:$B$62,MATCH("Bullpen",Reference!$A$61:$A$62,0)),0)*W267)+IF(OR(X267="",AC267=""),0,X267*VLOOKUP(60,Reference!$A$6:$B$11,2,TRUE())*AC267))</f>
        <v/>
      </c>
      <c r="R267" s="16"/>
      <c r="S267" s="16"/>
      <c r="T267" s="16"/>
      <c r="U267" s="17" t="str">
        <f t="shared" si="31"/>
        <v/>
      </c>
      <c r="V267" s="17" t="str">
        <f t="shared" si="32"/>
        <v/>
      </c>
      <c r="W267" s="17" t="str">
        <f>IF(V267="","",VLOOKUP(MAX(V267,0),Reference!$A$17:$B$20,2,TRUE()))</f>
        <v/>
      </c>
      <c r="X267" s="16"/>
      <c r="Y267" s="16"/>
      <c r="Z267" s="16"/>
      <c r="AA267" s="17" t="str">
        <f t="shared" si="33"/>
        <v/>
      </c>
      <c r="AB267" s="17" t="str">
        <f t="shared" si="34"/>
        <v/>
      </c>
      <c r="AC267" s="17" t="str">
        <f>IF(AB267="","",VLOOKUP(MAX(AB267,0),Reference!$A$17:$B$20,2,TRUE()))</f>
        <v/>
      </c>
      <c r="AD267" s="16"/>
    </row>
    <row r="268" spans="1:30" x14ac:dyDescent="0.3">
      <c r="A268" s="19"/>
      <c r="B268" s="16"/>
      <c r="C268" s="16"/>
      <c r="D268" s="16"/>
      <c r="E268" s="18"/>
      <c r="F268" s="18"/>
      <c r="G268" s="15" t="str">
        <f t="shared" si="28"/>
        <v/>
      </c>
      <c r="H268" s="16"/>
      <c r="I268" s="17" t="str">
        <f>IF(H268&lt;&gt;"",H268,IF(G268="","",ROUND(G268*IFERROR(INDEX(Reference!$B$44:$B$50,MATCH(C268,Reference!$A$44:$A$50,0)),0),0)))</f>
        <v/>
      </c>
      <c r="J268" s="16"/>
      <c r="K268" s="16"/>
      <c r="L268" s="17" t="str">
        <f t="shared" si="29"/>
        <v/>
      </c>
      <c r="M268" s="17" t="str">
        <f>IFERROR(INDEX(Roster!$D$5:$D$40,MATCH(B268,Roster!$A$5:$A$40,0)),"")</f>
        <v/>
      </c>
      <c r="N268" s="17" t="str">
        <f t="shared" si="30"/>
        <v/>
      </c>
      <c r="O268" s="17" t="str">
        <f>IF(OR(C268="Bullpen",C268="Game"),IFERROR(INDEX(Reference!$B$61:$B$62,MATCH(C268,Reference!$A$61:$A$62,0)),""),IF(D268="","",VLOOKUP(D268,Reference!$A$6:$B$11,2,TRUE())))</f>
        <v/>
      </c>
      <c r="P268" s="17" t="str">
        <f>IF(N268="","",VLOOKUP(MAX(N268,0),Reference!$A$17:$B$20,2,TRUE()))</f>
        <v/>
      </c>
      <c r="Q268" s="17" t="str">
        <f>IF(AND(OR(I268="",O268="",P268=""),OR(R268="",W268=""),OR(X268="",AC268="")),"",IF(OR(I268="",O268="",P268=""),0,I268*O268*P268)+IF(OR(R268="",W268=""),0,R268*IFERROR(INDEX(Reference!$B$61:$B$62,MATCH("Bullpen",Reference!$A$61:$A$62,0)),0)*W268)+IF(OR(X268="",AC268=""),0,X268*VLOOKUP(60,Reference!$A$6:$B$11,2,TRUE())*AC268))</f>
        <v/>
      </c>
      <c r="R268" s="16"/>
      <c r="S268" s="16"/>
      <c r="T268" s="16"/>
      <c r="U268" s="17" t="str">
        <f t="shared" si="31"/>
        <v/>
      </c>
      <c r="V268" s="17" t="str">
        <f t="shared" si="32"/>
        <v/>
      </c>
      <c r="W268" s="17" t="str">
        <f>IF(V268="","",VLOOKUP(MAX(V268,0),Reference!$A$17:$B$20,2,TRUE()))</f>
        <v/>
      </c>
      <c r="X268" s="16"/>
      <c r="Y268" s="16"/>
      <c r="Z268" s="16"/>
      <c r="AA268" s="17" t="str">
        <f t="shared" si="33"/>
        <v/>
      </c>
      <c r="AB268" s="17" t="str">
        <f t="shared" si="34"/>
        <v/>
      </c>
      <c r="AC268" s="17" t="str">
        <f>IF(AB268="","",VLOOKUP(MAX(AB268,0),Reference!$A$17:$B$20,2,TRUE()))</f>
        <v/>
      </c>
      <c r="AD268" s="16"/>
    </row>
    <row r="269" spans="1:30" x14ac:dyDescent="0.3">
      <c r="A269" s="19"/>
      <c r="B269" s="16"/>
      <c r="C269" s="16"/>
      <c r="D269" s="16"/>
      <c r="E269" s="18"/>
      <c r="F269" s="18"/>
      <c r="G269" s="15" t="str">
        <f t="shared" si="28"/>
        <v/>
      </c>
      <c r="H269" s="16"/>
      <c r="I269" s="17" t="str">
        <f>IF(H269&lt;&gt;"",H269,IF(G269="","",ROUND(G269*IFERROR(INDEX(Reference!$B$44:$B$50,MATCH(C269,Reference!$A$44:$A$50,0)),0),0)))</f>
        <v/>
      </c>
      <c r="J269" s="16"/>
      <c r="K269" s="16"/>
      <c r="L269" s="17" t="str">
        <f t="shared" si="29"/>
        <v/>
      </c>
      <c r="M269" s="17" t="str">
        <f>IFERROR(INDEX(Roster!$D$5:$D$40,MATCH(B269,Roster!$A$5:$A$40,0)),"")</f>
        <v/>
      </c>
      <c r="N269" s="17" t="str">
        <f t="shared" si="30"/>
        <v/>
      </c>
      <c r="O269" s="17" t="str">
        <f>IF(OR(C269="Bullpen",C269="Game"),IFERROR(INDEX(Reference!$B$61:$B$62,MATCH(C269,Reference!$A$61:$A$62,0)),""),IF(D269="","",VLOOKUP(D269,Reference!$A$6:$B$11,2,TRUE())))</f>
        <v/>
      </c>
      <c r="P269" s="17" t="str">
        <f>IF(N269="","",VLOOKUP(MAX(N269,0),Reference!$A$17:$B$20,2,TRUE()))</f>
        <v/>
      </c>
      <c r="Q269" s="17" t="str">
        <f>IF(AND(OR(I269="",O269="",P269=""),OR(R269="",W269=""),OR(X269="",AC269="")),"",IF(OR(I269="",O269="",P269=""),0,I269*O269*P269)+IF(OR(R269="",W269=""),0,R269*IFERROR(INDEX(Reference!$B$61:$B$62,MATCH("Bullpen",Reference!$A$61:$A$62,0)),0)*W269)+IF(OR(X269="",AC269=""),0,X269*VLOOKUP(60,Reference!$A$6:$B$11,2,TRUE())*AC269))</f>
        <v/>
      </c>
      <c r="R269" s="16"/>
      <c r="S269" s="16"/>
      <c r="T269" s="16"/>
      <c r="U269" s="17" t="str">
        <f t="shared" si="31"/>
        <v/>
      </c>
      <c r="V269" s="17" t="str">
        <f t="shared" si="32"/>
        <v/>
      </c>
      <c r="W269" s="17" t="str">
        <f>IF(V269="","",VLOOKUP(MAX(V269,0),Reference!$A$17:$B$20,2,TRUE()))</f>
        <v/>
      </c>
      <c r="X269" s="16"/>
      <c r="Y269" s="16"/>
      <c r="Z269" s="16"/>
      <c r="AA269" s="17" t="str">
        <f t="shared" si="33"/>
        <v/>
      </c>
      <c r="AB269" s="17" t="str">
        <f t="shared" si="34"/>
        <v/>
      </c>
      <c r="AC269" s="17" t="str">
        <f>IF(AB269="","",VLOOKUP(MAX(AB269,0),Reference!$A$17:$B$20,2,TRUE()))</f>
        <v/>
      </c>
      <c r="AD269" s="16"/>
    </row>
    <row r="270" spans="1:30" x14ac:dyDescent="0.3">
      <c r="A270" s="19"/>
      <c r="B270" s="16"/>
      <c r="C270" s="16"/>
      <c r="D270" s="16"/>
      <c r="E270" s="18"/>
      <c r="F270" s="18"/>
      <c r="G270" s="15" t="str">
        <f t="shared" si="28"/>
        <v/>
      </c>
      <c r="H270" s="16"/>
      <c r="I270" s="17" t="str">
        <f>IF(H270&lt;&gt;"",H270,IF(G270="","",ROUND(G270*IFERROR(INDEX(Reference!$B$44:$B$50,MATCH(C270,Reference!$A$44:$A$50,0)),0),0)))</f>
        <v/>
      </c>
      <c r="J270" s="16"/>
      <c r="K270" s="16"/>
      <c r="L270" s="17" t="str">
        <f t="shared" si="29"/>
        <v/>
      </c>
      <c r="M270" s="17" t="str">
        <f>IFERROR(INDEX(Roster!$D$5:$D$40,MATCH(B270,Roster!$A$5:$A$40,0)),"")</f>
        <v/>
      </c>
      <c r="N270" s="17" t="str">
        <f t="shared" si="30"/>
        <v/>
      </c>
      <c r="O270" s="17" t="str">
        <f>IF(OR(C270="Bullpen",C270="Game"),IFERROR(INDEX(Reference!$B$61:$B$62,MATCH(C270,Reference!$A$61:$A$62,0)),""),IF(D270="","",VLOOKUP(D270,Reference!$A$6:$B$11,2,TRUE())))</f>
        <v/>
      </c>
      <c r="P270" s="17" t="str">
        <f>IF(N270="","",VLOOKUP(MAX(N270,0),Reference!$A$17:$B$20,2,TRUE()))</f>
        <v/>
      </c>
      <c r="Q270" s="17" t="str">
        <f>IF(AND(OR(I270="",O270="",P270=""),OR(R270="",W270=""),OR(X270="",AC270="")),"",IF(OR(I270="",O270="",P270=""),0,I270*O270*P270)+IF(OR(R270="",W270=""),0,R270*IFERROR(INDEX(Reference!$B$61:$B$62,MATCH("Bullpen",Reference!$A$61:$A$62,0)),0)*W270)+IF(OR(X270="",AC270=""),0,X270*VLOOKUP(60,Reference!$A$6:$B$11,2,TRUE())*AC270))</f>
        <v/>
      </c>
      <c r="R270" s="16"/>
      <c r="S270" s="16"/>
      <c r="T270" s="16"/>
      <c r="U270" s="17" t="str">
        <f t="shared" si="31"/>
        <v/>
      </c>
      <c r="V270" s="17" t="str">
        <f t="shared" si="32"/>
        <v/>
      </c>
      <c r="W270" s="17" t="str">
        <f>IF(V270="","",VLOOKUP(MAX(V270,0),Reference!$A$17:$B$20,2,TRUE()))</f>
        <v/>
      </c>
      <c r="X270" s="16"/>
      <c r="Y270" s="16"/>
      <c r="Z270" s="16"/>
      <c r="AA270" s="17" t="str">
        <f t="shared" si="33"/>
        <v/>
      </c>
      <c r="AB270" s="17" t="str">
        <f t="shared" si="34"/>
        <v/>
      </c>
      <c r="AC270" s="17" t="str">
        <f>IF(AB270="","",VLOOKUP(MAX(AB270,0),Reference!$A$17:$B$20,2,TRUE()))</f>
        <v/>
      </c>
      <c r="AD270" s="16"/>
    </row>
    <row r="271" spans="1:30" x14ac:dyDescent="0.3">
      <c r="A271" s="19"/>
      <c r="B271" s="16"/>
      <c r="C271" s="16"/>
      <c r="D271" s="16"/>
      <c r="E271" s="18"/>
      <c r="F271" s="18"/>
      <c r="G271" s="15" t="str">
        <f t="shared" si="28"/>
        <v/>
      </c>
      <c r="H271" s="16"/>
      <c r="I271" s="17" t="str">
        <f>IF(H271&lt;&gt;"",H271,IF(G271="","",ROUND(G271*IFERROR(INDEX(Reference!$B$44:$B$50,MATCH(C271,Reference!$A$44:$A$50,0)),0),0)))</f>
        <v/>
      </c>
      <c r="J271" s="16"/>
      <c r="K271" s="16"/>
      <c r="L271" s="17" t="str">
        <f t="shared" si="29"/>
        <v/>
      </c>
      <c r="M271" s="17" t="str">
        <f>IFERROR(INDEX(Roster!$D$5:$D$40,MATCH(B271,Roster!$A$5:$A$40,0)),"")</f>
        <v/>
      </c>
      <c r="N271" s="17" t="str">
        <f t="shared" si="30"/>
        <v/>
      </c>
      <c r="O271" s="17" t="str">
        <f>IF(OR(C271="Bullpen",C271="Game"),IFERROR(INDEX(Reference!$B$61:$B$62,MATCH(C271,Reference!$A$61:$A$62,0)),""),IF(D271="","",VLOOKUP(D271,Reference!$A$6:$B$11,2,TRUE())))</f>
        <v/>
      </c>
      <c r="P271" s="17" t="str">
        <f>IF(N271="","",VLOOKUP(MAX(N271,0),Reference!$A$17:$B$20,2,TRUE()))</f>
        <v/>
      </c>
      <c r="Q271" s="17" t="str">
        <f>IF(AND(OR(I271="",O271="",P271=""),OR(R271="",W271=""),OR(X271="",AC271="")),"",IF(OR(I271="",O271="",P271=""),0,I271*O271*P271)+IF(OR(R271="",W271=""),0,R271*IFERROR(INDEX(Reference!$B$61:$B$62,MATCH("Bullpen",Reference!$A$61:$A$62,0)),0)*W271)+IF(OR(X271="",AC271=""),0,X271*VLOOKUP(60,Reference!$A$6:$B$11,2,TRUE())*AC271))</f>
        <v/>
      </c>
      <c r="R271" s="16"/>
      <c r="S271" s="16"/>
      <c r="T271" s="16"/>
      <c r="U271" s="17" t="str">
        <f t="shared" si="31"/>
        <v/>
      </c>
      <c r="V271" s="17" t="str">
        <f t="shared" si="32"/>
        <v/>
      </c>
      <c r="W271" s="17" t="str">
        <f>IF(V271="","",VLOOKUP(MAX(V271,0),Reference!$A$17:$B$20,2,TRUE()))</f>
        <v/>
      </c>
      <c r="X271" s="16"/>
      <c r="Y271" s="16"/>
      <c r="Z271" s="16"/>
      <c r="AA271" s="17" t="str">
        <f t="shared" si="33"/>
        <v/>
      </c>
      <c r="AB271" s="17" t="str">
        <f t="shared" si="34"/>
        <v/>
      </c>
      <c r="AC271" s="17" t="str">
        <f>IF(AB271="","",VLOOKUP(MAX(AB271,0),Reference!$A$17:$B$20,2,TRUE()))</f>
        <v/>
      </c>
      <c r="AD271" s="16"/>
    </row>
    <row r="272" spans="1:30" x14ac:dyDescent="0.3">
      <c r="A272" s="19"/>
      <c r="B272" s="16"/>
      <c r="C272" s="16"/>
      <c r="D272" s="16"/>
      <c r="E272" s="18"/>
      <c r="F272" s="18"/>
      <c r="G272" s="15" t="str">
        <f t="shared" si="28"/>
        <v/>
      </c>
      <c r="H272" s="16"/>
      <c r="I272" s="17" t="str">
        <f>IF(H272&lt;&gt;"",H272,IF(G272="","",ROUND(G272*IFERROR(INDEX(Reference!$B$44:$B$50,MATCH(C272,Reference!$A$44:$A$50,0)),0),0)))</f>
        <v/>
      </c>
      <c r="J272" s="16"/>
      <c r="K272" s="16"/>
      <c r="L272" s="17" t="str">
        <f t="shared" si="29"/>
        <v/>
      </c>
      <c r="M272" s="17" t="str">
        <f>IFERROR(INDEX(Roster!$D$5:$D$40,MATCH(B272,Roster!$A$5:$A$40,0)),"")</f>
        <v/>
      </c>
      <c r="N272" s="17" t="str">
        <f t="shared" si="30"/>
        <v/>
      </c>
      <c r="O272" s="17" t="str">
        <f>IF(OR(C272="Bullpen",C272="Game"),IFERROR(INDEX(Reference!$B$61:$B$62,MATCH(C272,Reference!$A$61:$A$62,0)),""),IF(D272="","",VLOOKUP(D272,Reference!$A$6:$B$11,2,TRUE())))</f>
        <v/>
      </c>
      <c r="P272" s="17" t="str">
        <f>IF(N272="","",VLOOKUP(MAX(N272,0),Reference!$A$17:$B$20,2,TRUE()))</f>
        <v/>
      </c>
      <c r="Q272" s="17" t="str">
        <f>IF(AND(OR(I272="",O272="",P272=""),OR(R272="",W272=""),OR(X272="",AC272="")),"",IF(OR(I272="",O272="",P272=""),0,I272*O272*P272)+IF(OR(R272="",W272=""),0,R272*IFERROR(INDEX(Reference!$B$61:$B$62,MATCH("Bullpen",Reference!$A$61:$A$62,0)),0)*W272)+IF(OR(X272="",AC272=""),0,X272*VLOOKUP(60,Reference!$A$6:$B$11,2,TRUE())*AC272))</f>
        <v/>
      </c>
      <c r="R272" s="16"/>
      <c r="S272" s="16"/>
      <c r="T272" s="16"/>
      <c r="U272" s="17" t="str">
        <f t="shared" si="31"/>
        <v/>
      </c>
      <c r="V272" s="17" t="str">
        <f t="shared" si="32"/>
        <v/>
      </c>
      <c r="W272" s="17" t="str">
        <f>IF(V272="","",VLOOKUP(MAX(V272,0),Reference!$A$17:$B$20,2,TRUE()))</f>
        <v/>
      </c>
      <c r="X272" s="16"/>
      <c r="Y272" s="16"/>
      <c r="Z272" s="16"/>
      <c r="AA272" s="17" t="str">
        <f t="shared" si="33"/>
        <v/>
      </c>
      <c r="AB272" s="17" t="str">
        <f t="shared" si="34"/>
        <v/>
      </c>
      <c r="AC272" s="17" t="str">
        <f>IF(AB272="","",VLOOKUP(MAX(AB272,0),Reference!$A$17:$B$20,2,TRUE()))</f>
        <v/>
      </c>
      <c r="AD272" s="16"/>
    </row>
    <row r="273" spans="1:30" x14ac:dyDescent="0.3">
      <c r="A273" s="19"/>
      <c r="B273" s="16"/>
      <c r="C273" s="16"/>
      <c r="D273" s="16"/>
      <c r="E273" s="18"/>
      <c r="F273" s="18"/>
      <c r="G273" s="15" t="str">
        <f t="shared" si="28"/>
        <v/>
      </c>
      <c r="H273" s="16"/>
      <c r="I273" s="17" t="str">
        <f>IF(H273&lt;&gt;"",H273,IF(G273="","",ROUND(G273*IFERROR(INDEX(Reference!$B$44:$B$50,MATCH(C273,Reference!$A$44:$A$50,0)),0),0)))</f>
        <v/>
      </c>
      <c r="J273" s="16"/>
      <c r="K273" s="16"/>
      <c r="L273" s="17" t="str">
        <f t="shared" si="29"/>
        <v/>
      </c>
      <c r="M273" s="17" t="str">
        <f>IFERROR(INDEX(Roster!$D$5:$D$40,MATCH(B273,Roster!$A$5:$A$40,0)),"")</f>
        <v/>
      </c>
      <c r="N273" s="17" t="str">
        <f t="shared" si="30"/>
        <v/>
      </c>
      <c r="O273" s="17" t="str">
        <f>IF(OR(C273="Bullpen",C273="Game"),IFERROR(INDEX(Reference!$B$61:$B$62,MATCH(C273,Reference!$A$61:$A$62,0)),""),IF(D273="","",VLOOKUP(D273,Reference!$A$6:$B$11,2,TRUE())))</f>
        <v/>
      </c>
      <c r="P273" s="17" t="str">
        <f>IF(N273="","",VLOOKUP(MAX(N273,0),Reference!$A$17:$B$20,2,TRUE()))</f>
        <v/>
      </c>
      <c r="Q273" s="17" t="str">
        <f>IF(AND(OR(I273="",O273="",P273=""),OR(R273="",W273=""),OR(X273="",AC273="")),"",IF(OR(I273="",O273="",P273=""),0,I273*O273*P273)+IF(OR(R273="",W273=""),0,R273*IFERROR(INDEX(Reference!$B$61:$B$62,MATCH("Bullpen",Reference!$A$61:$A$62,0)),0)*W273)+IF(OR(X273="",AC273=""),0,X273*VLOOKUP(60,Reference!$A$6:$B$11,2,TRUE())*AC273))</f>
        <v/>
      </c>
      <c r="R273" s="16"/>
      <c r="S273" s="16"/>
      <c r="T273" s="16"/>
      <c r="U273" s="17" t="str">
        <f t="shared" si="31"/>
        <v/>
      </c>
      <c r="V273" s="17" t="str">
        <f t="shared" si="32"/>
        <v/>
      </c>
      <c r="W273" s="17" t="str">
        <f>IF(V273="","",VLOOKUP(MAX(V273,0),Reference!$A$17:$B$20,2,TRUE()))</f>
        <v/>
      </c>
      <c r="X273" s="16"/>
      <c r="Y273" s="16"/>
      <c r="Z273" s="16"/>
      <c r="AA273" s="17" t="str">
        <f t="shared" si="33"/>
        <v/>
      </c>
      <c r="AB273" s="17" t="str">
        <f t="shared" si="34"/>
        <v/>
      </c>
      <c r="AC273" s="17" t="str">
        <f>IF(AB273="","",VLOOKUP(MAX(AB273,0),Reference!$A$17:$B$20,2,TRUE()))</f>
        <v/>
      </c>
      <c r="AD273" s="16"/>
    </row>
    <row r="274" spans="1:30" x14ac:dyDescent="0.3">
      <c r="A274" s="19"/>
      <c r="B274" s="16"/>
      <c r="C274" s="16"/>
      <c r="D274" s="16"/>
      <c r="E274" s="18"/>
      <c r="F274" s="18"/>
      <c r="G274" s="15" t="str">
        <f t="shared" si="28"/>
        <v/>
      </c>
      <c r="H274" s="16"/>
      <c r="I274" s="17" t="str">
        <f>IF(H274&lt;&gt;"",H274,IF(G274="","",ROUND(G274*IFERROR(INDEX(Reference!$B$44:$B$50,MATCH(C274,Reference!$A$44:$A$50,0)),0),0)))</f>
        <v/>
      </c>
      <c r="J274" s="16"/>
      <c r="K274" s="16"/>
      <c r="L274" s="17" t="str">
        <f t="shared" si="29"/>
        <v/>
      </c>
      <c r="M274" s="17" t="str">
        <f>IFERROR(INDEX(Roster!$D$5:$D$40,MATCH(B274,Roster!$A$5:$A$40,0)),"")</f>
        <v/>
      </c>
      <c r="N274" s="17" t="str">
        <f t="shared" si="30"/>
        <v/>
      </c>
      <c r="O274" s="17" t="str">
        <f>IF(OR(C274="Bullpen",C274="Game"),IFERROR(INDEX(Reference!$B$61:$B$62,MATCH(C274,Reference!$A$61:$A$62,0)),""),IF(D274="","",VLOOKUP(D274,Reference!$A$6:$B$11,2,TRUE())))</f>
        <v/>
      </c>
      <c r="P274" s="17" t="str">
        <f>IF(N274="","",VLOOKUP(MAX(N274,0),Reference!$A$17:$B$20,2,TRUE()))</f>
        <v/>
      </c>
      <c r="Q274" s="17" t="str">
        <f>IF(AND(OR(I274="",O274="",P274=""),OR(R274="",W274=""),OR(X274="",AC274="")),"",IF(OR(I274="",O274="",P274=""),0,I274*O274*P274)+IF(OR(R274="",W274=""),0,R274*IFERROR(INDEX(Reference!$B$61:$B$62,MATCH("Bullpen",Reference!$A$61:$A$62,0)),0)*W274)+IF(OR(X274="",AC274=""),0,X274*VLOOKUP(60,Reference!$A$6:$B$11,2,TRUE())*AC274))</f>
        <v/>
      </c>
      <c r="R274" s="16"/>
      <c r="S274" s="16"/>
      <c r="T274" s="16"/>
      <c r="U274" s="17" t="str">
        <f t="shared" si="31"/>
        <v/>
      </c>
      <c r="V274" s="17" t="str">
        <f t="shared" si="32"/>
        <v/>
      </c>
      <c r="W274" s="17" t="str">
        <f>IF(V274="","",VLOOKUP(MAX(V274,0),Reference!$A$17:$B$20,2,TRUE()))</f>
        <v/>
      </c>
      <c r="X274" s="16"/>
      <c r="Y274" s="16"/>
      <c r="Z274" s="16"/>
      <c r="AA274" s="17" t="str">
        <f t="shared" si="33"/>
        <v/>
      </c>
      <c r="AB274" s="17" t="str">
        <f t="shared" si="34"/>
        <v/>
      </c>
      <c r="AC274" s="17" t="str">
        <f>IF(AB274="","",VLOOKUP(MAX(AB274,0),Reference!$A$17:$B$20,2,TRUE()))</f>
        <v/>
      </c>
      <c r="AD274" s="16"/>
    </row>
    <row r="275" spans="1:30" x14ac:dyDescent="0.3">
      <c r="A275" s="19"/>
      <c r="B275" s="16"/>
      <c r="C275" s="16"/>
      <c r="D275" s="16"/>
      <c r="E275" s="18"/>
      <c r="F275" s="18"/>
      <c r="G275" s="15" t="str">
        <f t="shared" si="28"/>
        <v/>
      </c>
      <c r="H275" s="16"/>
      <c r="I275" s="17" t="str">
        <f>IF(H275&lt;&gt;"",H275,IF(G275="","",ROUND(G275*IFERROR(INDEX(Reference!$B$44:$B$50,MATCH(C275,Reference!$A$44:$A$50,0)),0),0)))</f>
        <v/>
      </c>
      <c r="J275" s="16"/>
      <c r="K275" s="16"/>
      <c r="L275" s="17" t="str">
        <f t="shared" si="29"/>
        <v/>
      </c>
      <c r="M275" s="17" t="str">
        <f>IFERROR(INDEX(Roster!$D$5:$D$40,MATCH(B275,Roster!$A$5:$A$40,0)),"")</f>
        <v/>
      </c>
      <c r="N275" s="17" t="str">
        <f t="shared" si="30"/>
        <v/>
      </c>
      <c r="O275" s="17" t="str">
        <f>IF(OR(C275="Bullpen",C275="Game"),IFERROR(INDEX(Reference!$B$61:$B$62,MATCH(C275,Reference!$A$61:$A$62,0)),""),IF(D275="","",VLOOKUP(D275,Reference!$A$6:$B$11,2,TRUE())))</f>
        <v/>
      </c>
      <c r="P275" s="17" t="str">
        <f>IF(N275="","",VLOOKUP(MAX(N275,0),Reference!$A$17:$B$20,2,TRUE()))</f>
        <v/>
      </c>
      <c r="Q275" s="17" t="str">
        <f>IF(AND(OR(I275="",O275="",P275=""),OR(R275="",W275=""),OR(X275="",AC275="")),"",IF(OR(I275="",O275="",P275=""),0,I275*O275*P275)+IF(OR(R275="",W275=""),0,R275*IFERROR(INDEX(Reference!$B$61:$B$62,MATCH("Bullpen",Reference!$A$61:$A$62,0)),0)*W275)+IF(OR(X275="",AC275=""),0,X275*VLOOKUP(60,Reference!$A$6:$B$11,2,TRUE())*AC275))</f>
        <v/>
      </c>
      <c r="R275" s="16"/>
      <c r="S275" s="16"/>
      <c r="T275" s="16"/>
      <c r="U275" s="17" t="str">
        <f t="shared" si="31"/>
        <v/>
      </c>
      <c r="V275" s="17" t="str">
        <f t="shared" si="32"/>
        <v/>
      </c>
      <c r="W275" s="17" t="str">
        <f>IF(V275="","",VLOOKUP(MAX(V275,0),Reference!$A$17:$B$20,2,TRUE()))</f>
        <v/>
      </c>
      <c r="X275" s="16"/>
      <c r="Y275" s="16"/>
      <c r="Z275" s="16"/>
      <c r="AA275" s="17" t="str">
        <f t="shared" si="33"/>
        <v/>
      </c>
      <c r="AB275" s="17" t="str">
        <f t="shared" si="34"/>
        <v/>
      </c>
      <c r="AC275" s="17" t="str">
        <f>IF(AB275="","",VLOOKUP(MAX(AB275,0),Reference!$A$17:$B$20,2,TRUE()))</f>
        <v/>
      </c>
      <c r="AD275" s="16"/>
    </row>
    <row r="276" spans="1:30" x14ac:dyDescent="0.3">
      <c r="A276" s="19"/>
      <c r="B276" s="16"/>
      <c r="C276" s="16"/>
      <c r="D276" s="16"/>
      <c r="E276" s="18"/>
      <c r="F276" s="18"/>
      <c r="G276" s="15" t="str">
        <f t="shared" si="28"/>
        <v/>
      </c>
      <c r="H276" s="16"/>
      <c r="I276" s="17" t="str">
        <f>IF(H276&lt;&gt;"",H276,IF(G276="","",ROUND(G276*IFERROR(INDEX(Reference!$B$44:$B$50,MATCH(C276,Reference!$A$44:$A$50,0)),0),0)))</f>
        <v/>
      </c>
      <c r="J276" s="16"/>
      <c r="K276" s="16"/>
      <c r="L276" s="17" t="str">
        <f t="shared" si="29"/>
        <v/>
      </c>
      <c r="M276" s="17" t="str">
        <f>IFERROR(INDEX(Roster!$D$5:$D$40,MATCH(B276,Roster!$A$5:$A$40,0)),"")</f>
        <v/>
      </c>
      <c r="N276" s="17" t="str">
        <f t="shared" si="30"/>
        <v/>
      </c>
      <c r="O276" s="17" t="str">
        <f>IF(OR(C276="Bullpen",C276="Game"),IFERROR(INDEX(Reference!$B$61:$B$62,MATCH(C276,Reference!$A$61:$A$62,0)),""),IF(D276="","",VLOOKUP(D276,Reference!$A$6:$B$11,2,TRUE())))</f>
        <v/>
      </c>
      <c r="P276" s="17" t="str">
        <f>IF(N276="","",VLOOKUP(MAX(N276,0),Reference!$A$17:$B$20,2,TRUE()))</f>
        <v/>
      </c>
      <c r="Q276" s="17" t="str">
        <f>IF(AND(OR(I276="",O276="",P276=""),OR(R276="",W276=""),OR(X276="",AC276="")),"",IF(OR(I276="",O276="",P276=""),0,I276*O276*P276)+IF(OR(R276="",W276=""),0,R276*IFERROR(INDEX(Reference!$B$61:$B$62,MATCH("Bullpen",Reference!$A$61:$A$62,0)),0)*W276)+IF(OR(X276="",AC276=""),0,X276*VLOOKUP(60,Reference!$A$6:$B$11,2,TRUE())*AC276))</f>
        <v/>
      </c>
      <c r="R276" s="16"/>
      <c r="S276" s="16"/>
      <c r="T276" s="16"/>
      <c r="U276" s="17" t="str">
        <f t="shared" si="31"/>
        <v/>
      </c>
      <c r="V276" s="17" t="str">
        <f t="shared" si="32"/>
        <v/>
      </c>
      <c r="W276" s="17" t="str">
        <f>IF(V276="","",VLOOKUP(MAX(V276,0),Reference!$A$17:$B$20,2,TRUE()))</f>
        <v/>
      </c>
      <c r="X276" s="16"/>
      <c r="Y276" s="16"/>
      <c r="Z276" s="16"/>
      <c r="AA276" s="17" t="str">
        <f t="shared" si="33"/>
        <v/>
      </c>
      <c r="AB276" s="17" t="str">
        <f t="shared" si="34"/>
        <v/>
      </c>
      <c r="AC276" s="17" t="str">
        <f>IF(AB276="","",VLOOKUP(MAX(AB276,0),Reference!$A$17:$B$20,2,TRUE()))</f>
        <v/>
      </c>
      <c r="AD276" s="16"/>
    </row>
    <row r="277" spans="1:30" x14ac:dyDescent="0.3">
      <c r="A277" s="19"/>
      <c r="B277" s="16"/>
      <c r="C277" s="16"/>
      <c r="D277" s="16"/>
      <c r="E277" s="18"/>
      <c r="F277" s="18"/>
      <c r="G277" s="15" t="str">
        <f t="shared" si="28"/>
        <v/>
      </c>
      <c r="H277" s="16"/>
      <c r="I277" s="17" t="str">
        <f>IF(H277&lt;&gt;"",H277,IF(G277="","",ROUND(G277*IFERROR(INDEX(Reference!$B$44:$B$50,MATCH(C277,Reference!$A$44:$A$50,0)),0),0)))</f>
        <v/>
      </c>
      <c r="J277" s="16"/>
      <c r="K277" s="16"/>
      <c r="L277" s="17" t="str">
        <f t="shared" si="29"/>
        <v/>
      </c>
      <c r="M277" s="17" t="str">
        <f>IFERROR(INDEX(Roster!$D$5:$D$40,MATCH(B277,Roster!$A$5:$A$40,0)),"")</f>
        <v/>
      </c>
      <c r="N277" s="17" t="str">
        <f t="shared" si="30"/>
        <v/>
      </c>
      <c r="O277" s="17" t="str">
        <f>IF(OR(C277="Bullpen",C277="Game"),IFERROR(INDEX(Reference!$B$61:$B$62,MATCH(C277,Reference!$A$61:$A$62,0)),""),IF(D277="","",VLOOKUP(D277,Reference!$A$6:$B$11,2,TRUE())))</f>
        <v/>
      </c>
      <c r="P277" s="17" t="str">
        <f>IF(N277="","",VLOOKUP(MAX(N277,0),Reference!$A$17:$B$20,2,TRUE()))</f>
        <v/>
      </c>
      <c r="Q277" s="17" t="str">
        <f>IF(AND(OR(I277="",O277="",P277=""),OR(R277="",W277=""),OR(X277="",AC277="")),"",IF(OR(I277="",O277="",P277=""),0,I277*O277*P277)+IF(OR(R277="",W277=""),0,R277*IFERROR(INDEX(Reference!$B$61:$B$62,MATCH("Bullpen",Reference!$A$61:$A$62,0)),0)*W277)+IF(OR(X277="",AC277=""),0,X277*VLOOKUP(60,Reference!$A$6:$B$11,2,TRUE())*AC277))</f>
        <v/>
      </c>
      <c r="R277" s="16"/>
      <c r="S277" s="16"/>
      <c r="T277" s="16"/>
      <c r="U277" s="17" t="str">
        <f t="shared" si="31"/>
        <v/>
      </c>
      <c r="V277" s="17" t="str">
        <f t="shared" si="32"/>
        <v/>
      </c>
      <c r="W277" s="17" t="str">
        <f>IF(V277="","",VLOOKUP(MAX(V277,0),Reference!$A$17:$B$20,2,TRUE()))</f>
        <v/>
      </c>
      <c r="X277" s="16"/>
      <c r="Y277" s="16"/>
      <c r="Z277" s="16"/>
      <c r="AA277" s="17" t="str">
        <f t="shared" si="33"/>
        <v/>
      </c>
      <c r="AB277" s="17" t="str">
        <f t="shared" si="34"/>
        <v/>
      </c>
      <c r="AC277" s="17" t="str">
        <f>IF(AB277="","",VLOOKUP(MAX(AB277,0),Reference!$A$17:$B$20,2,TRUE()))</f>
        <v/>
      </c>
      <c r="AD277" s="16"/>
    </row>
    <row r="278" spans="1:30" x14ac:dyDescent="0.3">
      <c r="A278" s="19"/>
      <c r="B278" s="16"/>
      <c r="C278" s="16"/>
      <c r="D278" s="16"/>
      <c r="E278" s="18"/>
      <c r="F278" s="18"/>
      <c r="G278" s="15" t="str">
        <f t="shared" si="28"/>
        <v/>
      </c>
      <c r="H278" s="16"/>
      <c r="I278" s="17" t="str">
        <f>IF(H278&lt;&gt;"",H278,IF(G278="","",ROUND(G278*IFERROR(INDEX(Reference!$B$44:$B$50,MATCH(C278,Reference!$A$44:$A$50,0)),0),0)))</f>
        <v/>
      </c>
      <c r="J278" s="16"/>
      <c r="K278" s="16"/>
      <c r="L278" s="17" t="str">
        <f t="shared" si="29"/>
        <v/>
      </c>
      <c r="M278" s="17" t="str">
        <f>IFERROR(INDEX(Roster!$D$5:$D$40,MATCH(B278,Roster!$A$5:$A$40,0)),"")</f>
        <v/>
      </c>
      <c r="N278" s="17" t="str">
        <f t="shared" si="30"/>
        <v/>
      </c>
      <c r="O278" s="17" t="str">
        <f>IF(OR(C278="Bullpen",C278="Game"),IFERROR(INDEX(Reference!$B$61:$B$62,MATCH(C278,Reference!$A$61:$A$62,0)),""),IF(D278="","",VLOOKUP(D278,Reference!$A$6:$B$11,2,TRUE())))</f>
        <v/>
      </c>
      <c r="P278" s="17" t="str">
        <f>IF(N278="","",VLOOKUP(MAX(N278,0),Reference!$A$17:$B$20,2,TRUE()))</f>
        <v/>
      </c>
      <c r="Q278" s="17" t="str">
        <f>IF(AND(OR(I278="",O278="",P278=""),OR(R278="",W278=""),OR(X278="",AC278="")),"",IF(OR(I278="",O278="",P278=""),0,I278*O278*P278)+IF(OR(R278="",W278=""),0,R278*IFERROR(INDEX(Reference!$B$61:$B$62,MATCH("Bullpen",Reference!$A$61:$A$62,0)),0)*W278)+IF(OR(X278="",AC278=""),0,X278*VLOOKUP(60,Reference!$A$6:$B$11,2,TRUE())*AC278))</f>
        <v/>
      </c>
      <c r="R278" s="16"/>
      <c r="S278" s="16"/>
      <c r="T278" s="16"/>
      <c r="U278" s="17" t="str">
        <f t="shared" si="31"/>
        <v/>
      </c>
      <c r="V278" s="17" t="str">
        <f t="shared" si="32"/>
        <v/>
      </c>
      <c r="W278" s="17" t="str">
        <f>IF(V278="","",VLOOKUP(MAX(V278,0),Reference!$A$17:$B$20,2,TRUE()))</f>
        <v/>
      </c>
      <c r="X278" s="16"/>
      <c r="Y278" s="16"/>
      <c r="Z278" s="16"/>
      <c r="AA278" s="17" t="str">
        <f t="shared" si="33"/>
        <v/>
      </c>
      <c r="AB278" s="17" t="str">
        <f t="shared" si="34"/>
        <v/>
      </c>
      <c r="AC278" s="17" t="str">
        <f>IF(AB278="","",VLOOKUP(MAX(AB278,0),Reference!$A$17:$B$20,2,TRUE()))</f>
        <v/>
      </c>
      <c r="AD278" s="16"/>
    </row>
    <row r="279" spans="1:30" x14ac:dyDescent="0.3">
      <c r="A279" s="19"/>
      <c r="B279" s="16"/>
      <c r="C279" s="16"/>
      <c r="D279" s="16"/>
      <c r="E279" s="18"/>
      <c r="F279" s="18"/>
      <c r="G279" s="15" t="str">
        <f t="shared" si="28"/>
        <v/>
      </c>
      <c r="H279" s="16"/>
      <c r="I279" s="17" t="str">
        <f>IF(H279&lt;&gt;"",H279,IF(G279="","",ROUND(G279*IFERROR(INDEX(Reference!$B$44:$B$50,MATCH(C279,Reference!$A$44:$A$50,0)),0),0)))</f>
        <v/>
      </c>
      <c r="J279" s="16"/>
      <c r="K279" s="16"/>
      <c r="L279" s="17" t="str">
        <f t="shared" si="29"/>
        <v/>
      </c>
      <c r="M279" s="17" t="str">
        <f>IFERROR(INDEX(Roster!$D$5:$D$40,MATCH(B279,Roster!$A$5:$A$40,0)),"")</f>
        <v/>
      </c>
      <c r="N279" s="17" t="str">
        <f t="shared" si="30"/>
        <v/>
      </c>
      <c r="O279" s="17" t="str">
        <f>IF(OR(C279="Bullpen",C279="Game"),IFERROR(INDEX(Reference!$B$61:$B$62,MATCH(C279,Reference!$A$61:$A$62,0)),""),IF(D279="","",VLOOKUP(D279,Reference!$A$6:$B$11,2,TRUE())))</f>
        <v/>
      </c>
      <c r="P279" s="17" t="str">
        <f>IF(N279="","",VLOOKUP(MAX(N279,0),Reference!$A$17:$B$20,2,TRUE()))</f>
        <v/>
      </c>
      <c r="Q279" s="17" t="str">
        <f>IF(AND(OR(I279="",O279="",P279=""),OR(R279="",W279=""),OR(X279="",AC279="")),"",IF(OR(I279="",O279="",P279=""),0,I279*O279*P279)+IF(OR(R279="",W279=""),0,R279*IFERROR(INDEX(Reference!$B$61:$B$62,MATCH("Bullpen",Reference!$A$61:$A$62,0)),0)*W279)+IF(OR(X279="",AC279=""),0,X279*VLOOKUP(60,Reference!$A$6:$B$11,2,TRUE())*AC279))</f>
        <v/>
      </c>
      <c r="R279" s="16"/>
      <c r="S279" s="16"/>
      <c r="T279" s="16"/>
      <c r="U279" s="17" t="str">
        <f t="shared" si="31"/>
        <v/>
      </c>
      <c r="V279" s="17" t="str">
        <f t="shared" si="32"/>
        <v/>
      </c>
      <c r="W279" s="17" t="str">
        <f>IF(V279="","",VLOOKUP(MAX(V279,0),Reference!$A$17:$B$20,2,TRUE()))</f>
        <v/>
      </c>
      <c r="X279" s="16"/>
      <c r="Y279" s="16"/>
      <c r="Z279" s="16"/>
      <c r="AA279" s="17" t="str">
        <f t="shared" si="33"/>
        <v/>
      </c>
      <c r="AB279" s="17" t="str">
        <f t="shared" si="34"/>
        <v/>
      </c>
      <c r="AC279" s="17" t="str">
        <f>IF(AB279="","",VLOOKUP(MAX(AB279,0),Reference!$A$17:$B$20,2,TRUE()))</f>
        <v/>
      </c>
      <c r="AD279" s="16"/>
    </row>
    <row r="280" spans="1:30" x14ac:dyDescent="0.3">
      <c r="A280" s="19"/>
      <c r="B280" s="16"/>
      <c r="C280" s="16"/>
      <c r="D280" s="16"/>
      <c r="E280" s="18"/>
      <c r="F280" s="18"/>
      <c r="G280" s="15" t="str">
        <f t="shared" si="28"/>
        <v/>
      </c>
      <c r="H280" s="16"/>
      <c r="I280" s="17" t="str">
        <f>IF(H280&lt;&gt;"",H280,IF(G280="","",ROUND(G280*IFERROR(INDEX(Reference!$B$44:$B$50,MATCH(C280,Reference!$A$44:$A$50,0)),0),0)))</f>
        <v/>
      </c>
      <c r="J280" s="16"/>
      <c r="K280" s="16"/>
      <c r="L280" s="17" t="str">
        <f t="shared" si="29"/>
        <v/>
      </c>
      <c r="M280" s="17" t="str">
        <f>IFERROR(INDEX(Roster!$D$5:$D$40,MATCH(B280,Roster!$A$5:$A$40,0)),"")</f>
        <v/>
      </c>
      <c r="N280" s="17" t="str">
        <f t="shared" si="30"/>
        <v/>
      </c>
      <c r="O280" s="17" t="str">
        <f>IF(OR(C280="Bullpen",C280="Game"),IFERROR(INDEX(Reference!$B$61:$B$62,MATCH(C280,Reference!$A$61:$A$62,0)),""),IF(D280="","",VLOOKUP(D280,Reference!$A$6:$B$11,2,TRUE())))</f>
        <v/>
      </c>
      <c r="P280" s="17" t="str">
        <f>IF(N280="","",VLOOKUP(MAX(N280,0),Reference!$A$17:$B$20,2,TRUE()))</f>
        <v/>
      </c>
      <c r="Q280" s="17" t="str">
        <f>IF(AND(OR(I280="",O280="",P280=""),OR(R280="",W280=""),OR(X280="",AC280="")),"",IF(OR(I280="",O280="",P280=""),0,I280*O280*P280)+IF(OR(R280="",W280=""),0,R280*IFERROR(INDEX(Reference!$B$61:$B$62,MATCH("Bullpen",Reference!$A$61:$A$62,0)),0)*W280)+IF(OR(X280="",AC280=""),0,X280*VLOOKUP(60,Reference!$A$6:$B$11,2,TRUE())*AC280))</f>
        <v/>
      </c>
      <c r="R280" s="16"/>
      <c r="S280" s="16"/>
      <c r="T280" s="16"/>
      <c r="U280" s="17" t="str">
        <f t="shared" si="31"/>
        <v/>
      </c>
      <c r="V280" s="17" t="str">
        <f t="shared" si="32"/>
        <v/>
      </c>
      <c r="W280" s="17" t="str">
        <f>IF(V280="","",VLOOKUP(MAX(V280,0),Reference!$A$17:$B$20,2,TRUE()))</f>
        <v/>
      </c>
      <c r="X280" s="16"/>
      <c r="Y280" s="16"/>
      <c r="Z280" s="16"/>
      <c r="AA280" s="17" t="str">
        <f t="shared" si="33"/>
        <v/>
      </c>
      <c r="AB280" s="17" t="str">
        <f t="shared" si="34"/>
        <v/>
      </c>
      <c r="AC280" s="17" t="str">
        <f>IF(AB280="","",VLOOKUP(MAX(AB280,0),Reference!$A$17:$B$20,2,TRUE()))</f>
        <v/>
      </c>
      <c r="AD280" s="16"/>
    </row>
    <row r="281" spans="1:30" x14ac:dyDescent="0.3">
      <c r="A281" s="19"/>
      <c r="B281" s="16"/>
      <c r="C281" s="16"/>
      <c r="D281" s="16"/>
      <c r="E281" s="18"/>
      <c r="F281" s="18"/>
      <c r="G281" s="15" t="str">
        <f t="shared" si="28"/>
        <v/>
      </c>
      <c r="H281" s="16"/>
      <c r="I281" s="17" t="str">
        <f>IF(H281&lt;&gt;"",H281,IF(G281="","",ROUND(G281*IFERROR(INDEX(Reference!$B$44:$B$50,MATCH(C281,Reference!$A$44:$A$50,0)),0),0)))</f>
        <v/>
      </c>
      <c r="J281" s="16"/>
      <c r="K281" s="16"/>
      <c r="L281" s="17" t="str">
        <f t="shared" si="29"/>
        <v/>
      </c>
      <c r="M281" s="17" t="str">
        <f>IFERROR(INDEX(Roster!$D$5:$D$40,MATCH(B281,Roster!$A$5:$A$40,0)),"")</f>
        <v/>
      </c>
      <c r="N281" s="17" t="str">
        <f t="shared" si="30"/>
        <v/>
      </c>
      <c r="O281" s="17" t="str">
        <f>IF(OR(C281="Bullpen",C281="Game"),IFERROR(INDEX(Reference!$B$61:$B$62,MATCH(C281,Reference!$A$61:$A$62,0)),""),IF(D281="","",VLOOKUP(D281,Reference!$A$6:$B$11,2,TRUE())))</f>
        <v/>
      </c>
      <c r="P281" s="17" t="str">
        <f>IF(N281="","",VLOOKUP(MAX(N281,0),Reference!$A$17:$B$20,2,TRUE()))</f>
        <v/>
      </c>
      <c r="Q281" s="17" t="str">
        <f>IF(AND(OR(I281="",O281="",P281=""),OR(R281="",W281=""),OR(X281="",AC281="")),"",IF(OR(I281="",O281="",P281=""),0,I281*O281*P281)+IF(OR(R281="",W281=""),0,R281*IFERROR(INDEX(Reference!$B$61:$B$62,MATCH("Bullpen",Reference!$A$61:$A$62,0)),0)*W281)+IF(OR(X281="",AC281=""),0,X281*VLOOKUP(60,Reference!$A$6:$B$11,2,TRUE())*AC281))</f>
        <v/>
      </c>
      <c r="R281" s="16"/>
      <c r="S281" s="16"/>
      <c r="T281" s="16"/>
      <c r="U281" s="17" t="str">
        <f t="shared" si="31"/>
        <v/>
      </c>
      <c r="V281" s="17" t="str">
        <f t="shared" si="32"/>
        <v/>
      </c>
      <c r="W281" s="17" t="str">
        <f>IF(V281="","",VLOOKUP(MAX(V281,0),Reference!$A$17:$B$20,2,TRUE()))</f>
        <v/>
      </c>
      <c r="X281" s="16"/>
      <c r="Y281" s="16"/>
      <c r="Z281" s="16"/>
      <c r="AA281" s="17" t="str">
        <f t="shared" si="33"/>
        <v/>
      </c>
      <c r="AB281" s="17" t="str">
        <f t="shared" si="34"/>
        <v/>
      </c>
      <c r="AC281" s="17" t="str">
        <f>IF(AB281="","",VLOOKUP(MAX(AB281,0),Reference!$A$17:$B$20,2,TRUE()))</f>
        <v/>
      </c>
      <c r="AD281" s="16"/>
    </row>
    <row r="282" spans="1:30" x14ac:dyDescent="0.3">
      <c r="A282" s="19"/>
      <c r="B282" s="16"/>
      <c r="C282" s="16"/>
      <c r="D282" s="16"/>
      <c r="E282" s="18"/>
      <c r="F282" s="18"/>
      <c r="G282" s="15" t="str">
        <f t="shared" si="28"/>
        <v/>
      </c>
      <c r="H282" s="16"/>
      <c r="I282" s="17" t="str">
        <f>IF(H282&lt;&gt;"",H282,IF(G282="","",ROUND(G282*IFERROR(INDEX(Reference!$B$44:$B$50,MATCH(C282,Reference!$A$44:$A$50,0)),0),0)))</f>
        <v/>
      </c>
      <c r="J282" s="16"/>
      <c r="K282" s="16"/>
      <c r="L282" s="17" t="str">
        <f t="shared" si="29"/>
        <v/>
      </c>
      <c r="M282" s="17" t="str">
        <f>IFERROR(INDEX(Roster!$D$5:$D$40,MATCH(B282,Roster!$A$5:$A$40,0)),"")</f>
        <v/>
      </c>
      <c r="N282" s="17" t="str">
        <f t="shared" si="30"/>
        <v/>
      </c>
      <c r="O282" s="17" t="str">
        <f>IF(OR(C282="Bullpen",C282="Game"),IFERROR(INDEX(Reference!$B$61:$B$62,MATCH(C282,Reference!$A$61:$A$62,0)),""),IF(D282="","",VLOOKUP(D282,Reference!$A$6:$B$11,2,TRUE())))</f>
        <v/>
      </c>
      <c r="P282" s="17" t="str">
        <f>IF(N282="","",VLOOKUP(MAX(N282,0),Reference!$A$17:$B$20,2,TRUE()))</f>
        <v/>
      </c>
      <c r="Q282" s="17" t="str">
        <f>IF(AND(OR(I282="",O282="",P282=""),OR(R282="",W282=""),OR(X282="",AC282="")),"",IF(OR(I282="",O282="",P282=""),0,I282*O282*P282)+IF(OR(R282="",W282=""),0,R282*IFERROR(INDEX(Reference!$B$61:$B$62,MATCH("Bullpen",Reference!$A$61:$A$62,0)),0)*W282)+IF(OR(X282="",AC282=""),0,X282*VLOOKUP(60,Reference!$A$6:$B$11,2,TRUE())*AC282))</f>
        <v/>
      </c>
      <c r="R282" s="16"/>
      <c r="S282" s="16"/>
      <c r="T282" s="16"/>
      <c r="U282" s="17" t="str">
        <f t="shared" si="31"/>
        <v/>
      </c>
      <c r="V282" s="17" t="str">
        <f t="shared" si="32"/>
        <v/>
      </c>
      <c r="W282" s="17" t="str">
        <f>IF(V282="","",VLOOKUP(MAX(V282,0),Reference!$A$17:$B$20,2,TRUE()))</f>
        <v/>
      </c>
      <c r="X282" s="16"/>
      <c r="Y282" s="16"/>
      <c r="Z282" s="16"/>
      <c r="AA282" s="17" t="str">
        <f t="shared" si="33"/>
        <v/>
      </c>
      <c r="AB282" s="17" t="str">
        <f t="shared" si="34"/>
        <v/>
      </c>
      <c r="AC282" s="17" t="str">
        <f>IF(AB282="","",VLOOKUP(MAX(AB282,0),Reference!$A$17:$B$20,2,TRUE()))</f>
        <v/>
      </c>
      <c r="AD282" s="16"/>
    </row>
    <row r="283" spans="1:30" x14ac:dyDescent="0.3">
      <c r="A283" s="19"/>
      <c r="B283" s="16"/>
      <c r="C283" s="16"/>
      <c r="D283" s="16"/>
      <c r="E283" s="18"/>
      <c r="F283" s="18"/>
      <c r="G283" s="15" t="str">
        <f t="shared" si="28"/>
        <v/>
      </c>
      <c r="H283" s="16"/>
      <c r="I283" s="17" t="str">
        <f>IF(H283&lt;&gt;"",H283,IF(G283="","",ROUND(G283*IFERROR(INDEX(Reference!$B$44:$B$50,MATCH(C283,Reference!$A$44:$A$50,0)),0),0)))</f>
        <v/>
      </c>
      <c r="J283" s="16"/>
      <c r="K283" s="16"/>
      <c r="L283" s="17" t="str">
        <f t="shared" si="29"/>
        <v/>
      </c>
      <c r="M283" s="17" t="str">
        <f>IFERROR(INDEX(Roster!$D$5:$D$40,MATCH(B283,Roster!$A$5:$A$40,0)),"")</f>
        <v/>
      </c>
      <c r="N283" s="17" t="str">
        <f t="shared" si="30"/>
        <v/>
      </c>
      <c r="O283" s="17" t="str">
        <f>IF(OR(C283="Bullpen",C283="Game"),IFERROR(INDEX(Reference!$B$61:$B$62,MATCH(C283,Reference!$A$61:$A$62,0)),""),IF(D283="","",VLOOKUP(D283,Reference!$A$6:$B$11,2,TRUE())))</f>
        <v/>
      </c>
      <c r="P283" s="17" t="str">
        <f>IF(N283="","",VLOOKUP(MAX(N283,0),Reference!$A$17:$B$20,2,TRUE()))</f>
        <v/>
      </c>
      <c r="Q283" s="17" t="str">
        <f>IF(AND(OR(I283="",O283="",P283=""),OR(R283="",W283=""),OR(X283="",AC283="")),"",IF(OR(I283="",O283="",P283=""),0,I283*O283*P283)+IF(OR(R283="",W283=""),0,R283*IFERROR(INDEX(Reference!$B$61:$B$62,MATCH("Bullpen",Reference!$A$61:$A$62,0)),0)*W283)+IF(OR(X283="",AC283=""),0,X283*VLOOKUP(60,Reference!$A$6:$B$11,2,TRUE())*AC283))</f>
        <v/>
      </c>
      <c r="R283" s="16"/>
      <c r="S283" s="16"/>
      <c r="T283" s="16"/>
      <c r="U283" s="17" t="str">
        <f t="shared" si="31"/>
        <v/>
      </c>
      <c r="V283" s="17" t="str">
        <f t="shared" si="32"/>
        <v/>
      </c>
      <c r="W283" s="17" t="str">
        <f>IF(V283="","",VLOOKUP(MAX(V283,0),Reference!$A$17:$B$20,2,TRUE()))</f>
        <v/>
      </c>
      <c r="X283" s="16"/>
      <c r="Y283" s="16"/>
      <c r="Z283" s="16"/>
      <c r="AA283" s="17" t="str">
        <f t="shared" si="33"/>
        <v/>
      </c>
      <c r="AB283" s="17" t="str">
        <f t="shared" si="34"/>
        <v/>
      </c>
      <c r="AC283" s="17" t="str">
        <f>IF(AB283="","",VLOOKUP(MAX(AB283,0),Reference!$A$17:$B$20,2,TRUE()))</f>
        <v/>
      </c>
      <c r="AD283" s="16"/>
    </row>
    <row r="284" spans="1:30" x14ac:dyDescent="0.3">
      <c r="A284" s="19"/>
      <c r="B284" s="16"/>
      <c r="C284" s="16"/>
      <c r="D284" s="16"/>
      <c r="E284" s="18"/>
      <c r="F284" s="18"/>
      <c r="G284" s="15" t="str">
        <f t="shared" si="28"/>
        <v/>
      </c>
      <c r="H284" s="16"/>
      <c r="I284" s="17" t="str">
        <f>IF(H284&lt;&gt;"",H284,IF(G284="","",ROUND(G284*IFERROR(INDEX(Reference!$B$44:$B$50,MATCH(C284,Reference!$A$44:$A$50,0)),0),0)))</f>
        <v/>
      </c>
      <c r="J284" s="16"/>
      <c r="K284" s="16"/>
      <c r="L284" s="17" t="str">
        <f t="shared" si="29"/>
        <v/>
      </c>
      <c r="M284" s="17" t="str">
        <f>IFERROR(INDEX(Roster!$D$5:$D$40,MATCH(B284,Roster!$A$5:$A$40,0)),"")</f>
        <v/>
      </c>
      <c r="N284" s="17" t="str">
        <f t="shared" si="30"/>
        <v/>
      </c>
      <c r="O284" s="17" t="str">
        <f>IF(OR(C284="Bullpen",C284="Game"),IFERROR(INDEX(Reference!$B$61:$B$62,MATCH(C284,Reference!$A$61:$A$62,0)),""),IF(D284="","",VLOOKUP(D284,Reference!$A$6:$B$11,2,TRUE())))</f>
        <v/>
      </c>
      <c r="P284" s="17" t="str">
        <f>IF(N284="","",VLOOKUP(MAX(N284,0),Reference!$A$17:$B$20,2,TRUE()))</f>
        <v/>
      </c>
      <c r="Q284" s="17" t="str">
        <f>IF(AND(OR(I284="",O284="",P284=""),OR(R284="",W284=""),OR(X284="",AC284="")),"",IF(OR(I284="",O284="",P284=""),0,I284*O284*P284)+IF(OR(R284="",W284=""),0,R284*IFERROR(INDEX(Reference!$B$61:$B$62,MATCH("Bullpen",Reference!$A$61:$A$62,0)),0)*W284)+IF(OR(X284="",AC284=""),0,X284*VLOOKUP(60,Reference!$A$6:$B$11,2,TRUE())*AC284))</f>
        <v/>
      </c>
      <c r="R284" s="16"/>
      <c r="S284" s="16"/>
      <c r="T284" s="16"/>
      <c r="U284" s="17" t="str">
        <f t="shared" si="31"/>
        <v/>
      </c>
      <c r="V284" s="17" t="str">
        <f t="shared" si="32"/>
        <v/>
      </c>
      <c r="W284" s="17" t="str">
        <f>IF(V284="","",VLOOKUP(MAX(V284,0),Reference!$A$17:$B$20,2,TRUE()))</f>
        <v/>
      </c>
      <c r="X284" s="16"/>
      <c r="Y284" s="16"/>
      <c r="Z284" s="16"/>
      <c r="AA284" s="17" t="str">
        <f t="shared" si="33"/>
        <v/>
      </c>
      <c r="AB284" s="17" t="str">
        <f t="shared" si="34"/>
        <v/>
      </c>
      <c r="AC284" s="17" t="str">
        <f>IF(AB284="","",VLOOKUP(MAX(AB284,0),Reference!$A$17:$B$20,2,TRUE()))</f>
        <v/>
      </c>
      <c r="AD284" s="16"/>
    </row>
    <row r="285" spans="1:30" x14ac:dyDescent="0.3">
      <c r="A285" s="19"/>
      <c r="B285" s="16"/>
      <c r="C285" s="16"/>
      <c r="D285" s="16"/>
      <c r="E285" s="18"/>
      <c r="F285" s="18"/>
      <c r="G285" s="15" t="str">
        <f t="shared" si="28"/>
        <v/>
      </c>
      <c r="H285" s="16"/>
      <c r="I285" s="17" t="str">
        <f>IF(H285&lt;&gt;"",H285,IF(G285="","",ROUND(G285*IFERROR(INDEX(Reference!$B$44:$B$50,MATCH(C285,Reference!$A$44:$A$50,0)),0),0)))</f>
        <v/>
      </c>
      <c r="J285" s="16"/>
      <c r="K285" s="16"/>
      <c r="L285" s="17" t="str">
        <f t="shared" si="29"/>
        <v/>
      </c>
      <c r="M285" s="17" t="str">
        <f>IFERROR(INDEX(Roster!$D$5:$D$40,MATCH(B285,Roster!$A$5:$A$40,0)),"")</f>
        <v/>
      </c>
      <c r="N285" s="17" t="str">
        <f t="shared" si="30"/>
        <v/>
      </c>
      <c r="O285" s="17" t="str">
        <f>IF(OR(C285="Bullpen",C285="Game"),IFERROR(INDEX(Reference!$B$61:$B$62,MATCH(C285,Reference!$A$61:$A$62,0)),""),IF(D285="","",VLOOKUP(D285,Reference!$A$6:$B$11,2,TRUE())))</f>
        <v/>
      </c>
      <c r="P285" s="17" t="str">
        <f>IF(N285="","",VLOOKUP(MAX(N285,0),Reference!$A$17:$B$20,2,TRUE()))</f>
        <v/>
      </c>
      <c r="Q285" s="17" t="str">
        <f>IF(AND(OR(I285="",O285="",P285=""),OR(R285="",W285=""),OR(X285="",AC285="")),"",IF(OR(I285="",O285="",P285=""),0,I285*O285*P285)+IF(OR(R285="",W285=""),0,R285*IFERROR(INDEX(Reference!$B$61:$B$62,MATCH("Bullpen",Reference!$A$61:$A$62,0)),0)*W285)+IF(OR(X285="",AC285=""),0,X285*VLOOKUP(60,Reference!$A$6:$B$11,2,TRUE())*AC285))</f>
        <v/>
      </c>
      <c r="R285" s="16"/>
      <c r="S285" s="16"/>
      <c r="T285" s="16"/>
      <c r="U285" s="17" t="str">
        <f t="shared" si="31"/>
        <v/>
      </c>
      <c r="V285" s="17" t="str">
        <f t="shared" si="32"/>
        <v/>
      </c>
      <c r="W285" s="17" t="str">
        <f>IF(V285="","",VLOOKUP(MAX(V285,0),Reference!$A$17:$B$20,2,TRUE()))</f>
        <v/>
      </c>
      <c r="X285" s="16"/>
      <c r="Y285" s="16"/>
      <c r="Z285" s="16"/>
      <c r="AA285" s="17" t="str">
        <f t="shared" si="33"/>
        <v/>
      </c>
      <c r="AB285" s="17" t="str">
        <f t="shared" si="34"/>
        <v/>
      </c>
      <c r="AC285" s="17" t="str">
        <f>IF(AB285="","",VLOOKUP(MAX(AB285,0),Reference!$A$17:$B$20,2,TRUE()))</f>
        <v/>
      </c>
      <c r="AD285" s="16"/>
    </row>
    <row r="286" spans="1:30" x14ac:dyDescent="0.3">
      <c r="A286" s="19"/>
      <c r="B286" s="16"/>
      <c r="C286" s="16"/>
      <c r="D286" s="16"/>
      <c r="E286" s="18"/>
      <c r="F286" s="18"/>
      <c r="G286" s="15" t="str">
        <f t="shared" si="28"/>
        <v/>
      </c>
      <c r="H286" s="16"/>
      <c r="I286" s="17" t="str">
        <f>IF(H286&lt;&gt;"",H286,IF(G286="","",ROUND(G286*IFERROR(INDEX(Reference!$B$44:$B$50,MATCH(C286,Reference!$A$44:$A$50,0)),0),0)))</f>
        <v/>
      </c>
      <c r="J286" s="16"/>
      <c r="K286" s="16"/>
      <c r="L286" s="17" t="str">
        <f t="shared" si="29"/>
        <v/>
      </c>
      <c r="M286" s="17" t="str">
        <f>IFERROR(INDEX(Roster!$D$5:$D$40,MATCH(B286,Roster!$A$5:$A$40,0)),"")</f>
        <v/>
      </c>
      <c r="N286" s="17" t="str">
        <f t="shared" si="30"/>
        <v/>
      </c>
      <c r="O286" s="17" t="str">
        <f>IF(OR(C286="Bullpen",C286="Game"),IFERROR(INDEX(Reference!$B$61:$B$62,MATCH(C286,Reference!$A$61:$A$62,0)),""),IF(D286="","",VLOOKUP(D286,Reference!$A$6:$B$11,2,TRUE())))</f>
        <v/>
      </c>
      <c r="P286" s="17" t="str">
        <f>IF(N286="","",VLOOKUP(MAX(N286,0),Reference!$A$17:$B$20,2,TRUE()))</f>
        <v/>
      </c>
      <c r="Q286" s="17" t="str">
        <f>IF(AND(OR(I286="",O286="",P286=""),OR(R286="",W286=""),OR(X286="",AC286="")),"",IF(OR(I286="",O286="",P286=""),0,I286*O286*P286)+IF(OR(R286="",W286=""),0,R286*IFERROR(INDEX(Reference!$B$61:$B$62,MATCH("Bullpen",Reference!$A$61:$A$62,0)),0)*W286)+IF(OR(X286="",AC286=""),0,X286*VLOOKUP(60,Reference!$A$6:$B$11,2,TRUE())*AC286))</f>
        <v/>
      </c>
      <c r="R286" s="16"/>
      <c r="S286" s="16"/>
      <c r="T286" s="16"/>
      <c r="U286" s="17" t="str">
        <f t="shared" si="31"/>
        <v/>
      </c>
      <c r="V286" s="17" t="str">
        <f t="shared" si="32"/>
        <v/>
      </c>
      <c r="W286" s="17" t="str">
        <f>IF(V286="","",VLOOKUP(MAX(V286,0),Reference!$A$17:$B$20,2,TRUE()))</f>
        <v/>
      </c>
      <c r="X286" s="16"/>
      <c r="Y286" s="16"/>
      <c r="Z286" s="16"/>
      <c r="AA286" s="17" t="str">
        <f t="shared" si="33"/>
        <v/>
      </c>
      <c r="AB286" s="17" t="str">
        <f t="shared" si="34"/>
        <v/>
      </c>
      <c r="AC286" s="17" t="str">
        <f>IF(AB286="","",VLOOKUP(MAX(AB286,0),Reference!$A$17:$B$20,2,TRUE()))</f>
        <v/>
      </c>
      <c r="AD286" s="16"/>
    </row>
    <row r="287" spans="1:30" x14ac:dyDescent="0.3">
      <c r="A287" s="19"/>
      <c r="B287" s="16"/>
      <c r="C287" s="16"/>
      <c r="D287" s="16"/>
      <c r="E287" s="18"/>
      <c r="F287" s="18"/>
      <c r="G287" s="15" t="str">
        <f t="shared" si="28"/>
        <v/>
      </c>
      <c r="H287" s="16"/>
      <c r="I287" s="17" t="str">
        <f>IF(H287&lt;&gt;"",H287,IF(G287="","",ROUND(G287*IFERROR(INDEX(Reference!$B$44:$B$50,MATCH(C287,Reference!$A$44:$A$50,0)),0),0)))</f>
        <v/>
      </c>
      <c r="J287" s="16"/>
      <c r="K287" s="16"/>
      <c r="L287" s="17" t="str">
        <f t="shared" si="29"/>
        <v/>
      </c>
      <c r="M287" s="17" t="str">
        <f>IFERROR(INDEX(Roster!$D$5:$D$40,MATCH(B287,Roster!$A$5:$A$40,0)),"")</f>
        <v/>
      </c>
      <c r="N287" s="17" t="str">
        <f t="shared" si="30"/>
        <v/>
      </c>
      <c r="O287" s="17" t="str">
        <f>IF(OR(C287="Bullpen",C287="Game"),IFERROR(INDEX(Reference!$B$61:$B$62,MATCH(C287,Reference!$A$61:$A$62,0)),""),IF(D287="","",VLOOKUP(D287,Reference!$A$6:$B$11,2,TRUE())))</f>
        <v/>
      </c>
      <c r="P287" s="17" t="str">
        <f>IF(N287="","",VLOOKUP(MAX(N287,0),Reference!$A$17:$B$20,2,TRUE()))</f>
        <v/>
      </c>
      <c r="Q287" s="17" t="str">
        <f>IF(AND(OR(I287="",O287="",P287=""),OR(R287="",W287=""),OR(X287="",AC287="")),"",IF(OR(I287="",O287="",P287=""),0,I287*O287*P287)+IF(OR(R287="",W287=""),0,R287*IFERROR(INDEX(Reference!$B$61:$B$62,MATCH("Bullpen",Reference!$A$61:$A$62,0)),0)*W287)+IF(OR(X287="",AC287=""),0,X287*VLOOKUP(60,Reference!$A$6:$B$11,2,TRUE())*AC287))</f>
        <v/>
      </c>
      <c r="R287" s="16"/>
      <c r="S287" s="16"/>
      <c r="T287" s="16"/>
      <c r="U287" s="17" t="str">
        <f t="shared" si="31"/>
        <v/>
      </c>
      <c r="V287" s="17" t="str">
        <f t="shared" si="32"/>
        <v/>
      </c>
      <c r="W287" s="17" t="str">
        <f>IF(V287="","",VLOOKUP(MAX(V287,0),Reference!$A$17:$B$20,2,TRUE()))</f>
        <v/>
      </c>
      <c r="X287" s="16"/>
      <c r="Y287" s="16"/>
      <c r="Z287" s="16"/>
      <c r="AA287" s="17" t="str">
        <f t="shared" si="33"/>
        <v/>
      </c>
      <c r="AB287" s="17" t="str">
        <f t="shared" si="34"/>
        <v/>
      </c>
      <c r="AC287" s="17" t="str">
        <f>IF(AB287="","",VLOOKUP(MAX(AB287,0),Reference!$A$17:$B$20,2,TRUE()))</f>
        <v/>
      </c>
      <c r="AD287" s="16"/>
    </row>
    <row r="288" spans="1:30" x14ac:dyDescent="0.3">
      <c r="A288" s="19"/>
      <c r="B288" s="16"/>
      <c r="C288" s="16"/>
      <c r="D288" s="16"/>
      <c r="E288" s="18"/>
      <c r="F288" s="18"/>
      <c r="G288" s="15" t="str">
        <f t="shared" si="28"/>
        <v/>
      </c>
      <c r="H288" s="16"/>
      <c r="I288" s="17" t="str">
        <f>IF(H288&lt;&gt;"",H288,IF(G288="","",ROUND(G288*IFERROR(INDEX(Reference!$B$44:$B$50,MATCH(C288,Reference!$A$44:$A$50,0)),0),0)))</f>
        <v/>
      </c>
      <c r="J288" s="16"/>
      <c r="K288" s="16"/>
      <c r="L288" s="17" t="str">
        <f t="shared" si="29"/>
        <v/>
      </c>
      <c r="M288" s="17" t="str">
        <f>IFERROR(INDEX(Roster!$D$5:$D$40,MATCH(B288,Roster!$A$5:$A$40,0)),"")</f>
        <v/>
      </c>
      <c r="N288" s="17" t="str">
        <f t="shared" si="30"/>
        <v/>
      </c>
      <c r="O288" s="17" t="str">
        <f>IF(OR(C288="Bullpen",C288="Game"),IFERROR(INDEX(Reference!$B$61:$B$62,MATCH(C288,Reference!$A$61:$A$62,0)),""),IF(D288="","",VLOOKUP(D288,Reference!$A$6:$B$11,2,TRUE())))</f>
        <v/>
      </c>
      <c r="P288" s="17" t="str">
        <f>IF(N288="","",VLOOKUP(MAX(N288,0),Reference!$A$17:$B$20,2,TRUE()))</f>
        <v/>
      </c>
      <c r="Q288" s="17" t="str">
        <f>IF(AND(OR(I288="",O288="",P288=""),OR(R288="",W288=""),OR(X288="",AC288="")),"",IF(OR(I288="",O288="",P288=""),0,I288*O288*P288)+IF(OR(R288="",W288=""),0,R288*IFERROR(INDEX(Reference!$B$61:$B$62,MATCH("Bullpen",Reference!$A$61:$A$62,0)),0)*W288)+IF(OR(X288="",AC288=""),0,X288*VLOOKUP(60,Reference!$A$6:$B$11,2,TRUE())*AC288))</f>
        <v/>
      </c>
      <c r="R288" s="16"/>
      <c r="S288" s="16"/>
      <c r="T288" s="16"/>
      <c r="U288" s="17" t="str">
        <f t="shared" si="31"/>
        <v/>
      </c>
      <c r="V288" s="17" t="str">
        <f t="shared" si="32"/>
        <v/>
      </c>
      <c r="W288" s="17" t="str">
        <f>IF(V288="","",VLOOKUP(MAX(V288,0),Reference!$A$17:$B$20,2,TRUE()))</f>
        <v/>
      </c>
      <c r="X288" s="16"/>
      <c r="Y288" s="16"/>
      <c r="Z288" s="16"/>
      <c r="AA288" s="17" t="str">
        <f t="shared" si="33"/>
        <v/>
      </c>
      <c r="AB288" s="17" t="str">
        <f t="shared" si="34"/>
        <v/>
      </c>
      <c r="AC288" s="17" t="str">
        <f>IF(AB288="","",VLOOKUP(MAX(AB288,0),Reference!$A$17:$B$20,2,TRUE()))</f>
        <v/>
      </c>
      <c r="AD288" s="16"/>
    </row>
    <row r="289" spans="1:30" x14ac:dyDescent="0.3">
      <c r="A289" s="19"/>
      <c r="B289" s="16"/>
      <c r="C289" s="16"/>
      <c r="D289" s="16"/>
      <c r="E289" s="18"/>
      <c r="F289" s="18"/>
      <c r="G289" s="15" t="str">
        <f t="shared" si="28"/>
        <v/>
      </c>
      <c r="H289" s="16"/>
      <c r="I289" s="17" t="str">
        <f>IF(H289&lt;&gt;"",H289,IF(G289="","",ROUND(G289*IFERROR(INDEX(Reference!$B$44:$B$50,MATCH(C289,Reference!$A$44:$A$50,0)),0),0)))</f>
        <v/>
      </c>
      <c r="J289" s="16"/>
      <c r="K289" s="16"/>
      <c r="L289" s="17" t="str">
        <f t="shared" si="29"/>
        <v/>
      </c>
      <c r="M289" s="17" t="str">
        <f>IFERROR(INDEX(Roster!$D$5:$D$40,MATCH(B289,Roster!$A$5:$A$40,0)),"")</f>
        <v/>
      </c>
      <c r="N289" s="17" t="str">
        <f t="shared" si="30"/>
        <v/>
      </c>
      <c r="O289" s="17" t="str">
        <f>IF(OR(C289="Bullpen",C289="Game"),IFERROR(INDEX(Reference!$B$61:$B$62,MATCH(C289,Reference!$A$61:$A$62,0)),""),IF(D289="","",VLOOKUP(D289,Reference!$A$6:$B$11,2,TRUE())))</f>
        <v/>
      </c>
      <c r="P289" s="17" t="str">
        <f>IF(N289="","",VLOOKUP(MAX(N289,0),Reference!$A$17:$B$20,2,TRUE()))</f>
        <v/>
      </c>
      <c r="Q289" s="17" t="str">
        <f>IF(AND(OR(I289="",O289="",P289=""),OR(R289="",W289=""),OR(X289="",AC289="")),"",IF(OR(I289="",O289="",P289=""),0,I289*O289*P289)+IF(OR(R289="",W289=""),0,R289*IFERROR(INDEX(Reference!$B$61:$B$62,MATCH("Bullpen",Reference!$A$61:$A$62,0)),0)*W289)+IF(OR(X289="",AC289=""),0,X289*VLOOKUP(60,Reference!$A$6:$B$11,2,TRUE())*AC289))</f>
        <v/>
      </c>
      <c r="R289" s="16"/>
      <c r="S289" s="16"/>
      <c r="T289" s="16"/>
      <c r="U289" s="17" t="str">
        <f t="shared" si="31"/>
        <v/>
      </c>
      <c r="V289" s="17" t="str">
        <f t="shared" si="32"/>
        <v/>
      </c>
      <c r="W289" s="17" t="str">
        <f>IF(V289="","",VLOOKUP(MAX(V289,0),Reference!$A$17:$B$20,2,TRUE()))</f>
        <v/>
      </c>
      <c r="X289" s="16"/>
      <c r="Y289" s="16"/>
      <c r="Z289" s="16"/>
      <c r="AA289" s="17" t="str">
        <f t="shared" si="33"/>
        <v/>
      </c>
      <c r="AB289" s="17" t="str">
        <f t="shared" si="34"/>
        <v/>
      </c>
      <c r="AC289" s="17" t="str">
        <f>IF(AB289="","",VLOOKUP(MAX(AB289,0),Reference!$A$17:$B$20,2,TRUE()))</f>
        <v/>
      </c>
      <c r="AD289" s="16"/>
    </row>
    <row r="290" spans="1:30" x14ac:dyDescent="0.3">
      <c r="A290" s="19"/>
      <c r="B290" s="16"/>
      <c r="C290" s="16"/>
      <c r="D290" s="16"/>
      <c r="E290" s="18"/>
      <c r="F290" s="18"/>
      <c r="G290" s="15" t="str">
        <f t="shared" si="28"/>
        <v/>
      </c>
      <c r="H290" s="16"/>
      <c r="I290" s="17" t="str">
        <f>IF(H290&lt;&gt;"",H290,IF(G290="","",ROUND(G290*IFERROR(INDEX(Reference!$B$44:$B$50,MATCH(C290,Reference!$A$44:$A$50,0)),0),0)))</f>
        <v/>
      </c>
      <c r="J290" s="16"/>
      <c r="K290" s="16"/>
      <c r="L290" s="17" t="str">
        <f t="shared" si="29"/>
        <v/>
      </c>
      <c r="M290" s="17" t="str">
        <f>IFERROR(INDEX(Roster!$D$5:$D$40,MATCH(B290,Roster!$A$5:$A$40,0)),"")</f>
        <v/>
      </c>
      <c r="N290" s="17" t="str">
        <f t="shared" si="30"/>
        <v/>
      </c>
      <c r="O290" s="17" t="str">
        <f>IF(OR(C290="Bullpen",C290="Game"),IFERROR(INDEX(Reference!$B$61:$B$62,MATCH(C290,Reference!$A$61:$A$62,0)),""),IF(D290="","",VLOOKUP(D290,Reference!$A$6:$B$11,2,TRUE())))</f>
        <v/>
      </c>
      <c r="P290" s="17" t="str">
        <f>IF(N290="","",VLOOKUP(MAX(N290,0),Reference!$A$17:$B$20,2,TRUE()))</f>
        <v/>
      </c>
      <c r="Q290" s="17" t="str">
        <f>IF(AND(OR(I290="",O290="",P290=""),OR(R290="",W290=""),OR(X290="",AC290="")),"",IF(OR(I290="",O290="",P290=""),0,I290*O290*P290)+IF(OR(R290="",W290=""),0,R290*IFERROR(INDEX(Reference!$B$61:$B$62,MATCH("Bullpen",Reference!$A$61:$A$62,0)),0)*W290)+IF(OR(X290="",AC290=""),0,X290*VLOOKUP(60,Reference!$A$6:$B$11,2,TRUE())*AC290))</f>
        <v/>
      </c>
      <c r="R290" s="16"/>
      <c r="S290" s="16"/>
      <c r="T290" s="16"/>
      <c r="U290" s="17" t="str">
        <f t="shared" si="31"/>
        <v/>
      </c>
      <c r="V290" s="17" t="str">
        <f t="shared" si="32"/>
        <v/>
      </c>
      <c r="W290" s="17" t="str">
        <f>IF(V290="","",VLOOKUP(MAX(V290,0),Reference!$A$17:$B$20,2,TRUE()))</f>
        <v/>
      </c>
      <c r="X290" s="16"/>
      <c r="Y290" s="16"/>
      <c r="Z290" s="16"/>
      <c r="AA290" s="17" t="str">
        <f t="shared" si="33"/>
        <v/>
      </c>
      <c r="AB290" s="17" t="str">
        <f t="shared" si="34"/>
        <v/>
      </c>
      <c r="AC290" s="17" t="str">
        <f>IF(AB290="","",VLOOKUP(MAX(AB290,0),Reference!$A$17:$B$20,2,TRUE()))</f>
        <v/>
      </c>
      <c r="AD290" s="16"/>
    </row>
    <row r="291" spans="1:30" x14ac:dyDescent="0.3">
      <c r="A291" s="19"/>
      <c r="B291" s="16"/>
      <c r="C291" s="16"/>
      <c r="D291" s="16"/>
      <c r="E291" s="18"/>
      <c r="F291" s="18"/>
      <c r="G291" s="15" t="str">
        <f t="shared" si="28"/>
        <v/>
      </c>
      <c r="H291" s="16"/>
      <c r="I291" s="17" t="str">
        <f>IF(H291&lt;&gt;"",H291,IF(G291="","",ROUND(G291*IFERROR(INDEX(Reference!$B$44:$B$50,MATCH(C291,Reference!$A$44:$A$50,0)),0),0)))</f>
        <v/>
      </c>
      <c r="J291" s="16"/>
      <c r="K291" s="16"/>
      <c r="L291" s="17" t="str">
        <f t="shared" si="29"/>
        <v/>
      </c>
      <c r="M291" s="17" t="str">
        <f>IFERROR(INDEX(Roster!$D$5:$D$40,MATCH(B291,Roster!$A$5:$A$40,0)),"")</f>
        <v/>
      </c>
      <c r="N291" s="17" t="str">
        <f t="shared" si="30"/>
        <v/>
      </c>
      <c r="O291" s="17" t="str">
        <f>IF(OR(C291="Bullpen",C291="Game"),IFERROR(INDEX(Reference!$B$61:$B$62,MATCH(C291,Reference!$A$61:$A$62,0)),""),IF(D291="","",VLOOKUP(D291,Reference!$A$6:$B$11,2,TRUE())))</f>
        <v/>
      </c>
      <c r="P291" s="17" t="str">
        <f>IF(N291="","",VLOOKUP(MAX(N291,0),Reference!$A$17:$B$20,2,TRUE()))</f>
        <v/>
      </c>
      <c r="Q291" s="17" t="str">
        <f>IF(AND(OR(I291="",O291="",P291=""),OR(R291="",W291=""),OR(X291="",AC291="")),"",IF(OR(I291="",O291="",P291=""),0,I291*O291*P291)+IF(OR(R291="",W291=""),0,R291*IFERROR(INDEX(Reference!$B$61:$B$62,MATCH("Bullpen",Reference!$A$61:$A$62,0)),0)*W291)+IF(OR(X291="",AC291=""),0,X291*VLOOKUP(60,Reference!$A$6:$B$11,2,TRUE())*AC291))</f>
        <v/>
      </c>
      <c r="R291" s="16"/>
      <c r="S291" s="16"/>
      <c r="T291" s="16"/>
      <c r="U291" s="17" t="str">
        <f t="shared" si="31"/>
        <v/>
      </c>
      <c r="V291" s="17" t="str">
        <f t="shared" si="32"/>
        <v/>
      </c>
      <c r="W291" s="17" t="str">
        <f>IF(V291="","",VLOOKUP(MAX(V291,0),Reference!$A$17:$B$20,2,TRUE()))</f>
        <v/>
      </c>
      <c r="X291" s="16"/>
      <c r="Y291" s="16"/>
      <c r="Z291" s="16"/>
      <c r="AA291" s="17" t="str">
        <f t="shared" si="33"/>
        <v/>
      </c>
      <c r="AB291" s="17" t="str">
        <f t="shared" si="34"/>
        <v/>
      </c>
      <c r="AC291" s="17" t="str">
        <f>IF(AB291="","",VLOOKUP(MAX(AB291,0),Reference!$A$17:$B$20,2,TRUE()))</f>
        <v/>
      </c>
      <c r="AD291" s="16"/>
    </row>
    <row r="292" spans="1:30" x14ac:dyDescent="0.3">
      <c r="A292" s="19"/>
      <c r="B292" s="16"/>
      <c r="C292" s="16"/>
      <c r="D292" s="16"/>
      <c r="E292" s="18"/>
      <c r="F292" s="18"/>
      <c r="G292" s="15" t="str">
        <f t="shared" si="28"/>
        <v/>
      </c>
      <c r="H292" s="16"/>
      <c r="I292" s="17" t="str">
        <f>IF(H292&lt;&gt;"",H292,IF(G292="","",ROUND(G292*IFERROR(INDEX(Reference!$B$44:$B$50,MATCH(C292,Reference!$A$44:$A$50,0)),0),0)))</f>
        <v/>
      </c>
      <c r="J292" s="16"/>
      <c r="K292" s="16"/>
      <c r="L292" s="17" t="str">
        <f t="shared" si="29"/>
        <v/>
      </c>
      <c r="M292" s="17" t="str">
        <f>IFERROR(INDEX(Roster!$D$5:$D$40,MATCH(B292,Roster!$A$5:$A$40,0)),"")</f>
        <v/>
      </c>
      <c r="N292" s="17" t="str">
        <f t="shared" si="30"/>
        <v/>
      </c>
      <c r="O292" s="17" t="str">
        <f>IF(OR(C292="Bullpen",C292="Game"),IFERROR(INDEX(Reference!$B$61:$B$62,MATCH(C292,Reference!$A$61:$A$62,0)),""),IF(D292="","",VLOOKUP(D292,Reference!$A$6:$B$11,2,TRUE())))</f>
        <v/>
      </c>
      <c r="P292" s="17" t="str">
        <f>IF(N292="","",VLOOKUP(MAX(N292,0),Reference!$A$17:$B$20,2,TRUE()))</f>
        <v/>
      </c>
      <c r="Q292" s="17" t="str">
        <f>IF(AND(OR(I292="",O292="",P292=""),OR(R292="",W292=""),OR(X292="",AC292="")),"",IF(OR(I292="",O292="",P292=""),0,I292*O292*P292)+IF(OR(R292="",W292=""),0,R292*IFERROR(INDEX(Reference!$B$61:$B$62,MATCH("Bullpen",Reference!$A$61:$A$62,0)),0)*W292)+IF(OR(X292="",AC292=""),0,X292*VLOOKUP(60,Reference!$A$6:$B$11,2,TRUE())*AC292))</f>
        <v/>
      </c>
      <c r="R292" s="16"/>
      <c r="S292" s="16"/>
      <c r="T292" s="16"/>
      <c r="U292" s="17" t="str">
        <f t="shared" si="31"/>
        <v/>
      </c>
      <c r="V292" s="17" t="str">
        <f t="shared" si="32"/>
        <v/>
      </c>
      <c r="W292" s="17" t="str">
        <f>IF(V292="","",VLOOKUP(MAX(V292,0),Reference!$A$17:$B$20,2,TRUE()))</f>
        <v/>
      </c>
      <c r="X292" s="16"/>
      <c r="Y292" s="16"/>
      <c r="Z292" s="16"/>
      <c r="AA292" s="17" t="str">
        <f t="shared" si="33"/>
        <v/>
      </c>
      <c r="AB292" s="17" t="str">
        <f t="shared" si="34"/>
        <v/>
      </c>
      <c r="AC292" s="17" t="str">
        <f>IF(AB292="","",VLOOKUP(MAX(AB292,0),Reference!$A$17:$B$20,2,TRUE()))</f>
        <v/>
      </c>
      <c r="AD292" s="16"/>
    </row>
    <row r="293" spans="1:30" x14ac:dyDescent="0.3">
      <c r="A293" s="19"/>
      <c r="B293" s="16"/>
      <c r="C293" s="16"/>
      <c r="D293" s="16"/>
      <c r="E293" s="18"/>
      <c r="F293" s="18"/>
      <c r="G293" s="15" t="str">
        <f t="shared" si="28"/>
        <v/>
      </c>
      <c r="H293" s="16"/>
      <c r="I293" s="17" t="str">
        <f>IF(H293&lt;&gt;"",H293,IF(G293="","",ROUND(G293*IFERROR(INDEX(Reference!$B$44:$B$50,MATCH(C293,Reference!$A$44:$A$50,0)),0),0)))</f>
        <v/>
      </c>
      <c r="J293" s="16"/>
      <c r="K293" s="16"/>
      <c r="L293" s="17" t="str">
        <f t="shared" si="29"/>
        <v/>
      </c>
      <c r="M293" s="17" t="str">
        <f>IFERROR(INDEX(Roster!$D$5:$D$40,MATCH(B293,Roster!$A$5:$A$40,0)),"")</f>
        <v/>
      </c>
      <c r="N293" s="17" t="str">
        <f t="shared" si="30"/>
        <v/>
      </c>
      <c r="O293" s="17" t="str">
        <f>IF(OR(C293="Bullpen",C293="Game"),IFERROR(INDEX(Reference!$B$61:$B$62,MATCH(C293,Reference!$A$61:$A$62,0)),""),IF(D293="","",VLOOKUP(D293,Reference!$A$6:$B$11,2,TRUE())))</f>
        <v/>
      </c>
      <c r="P293" s="17" t="str">
        <f>IF(N293="","",VLOOKUP(MAX(N293,0),Reference!$A$17:$B$20,2,TRUE()))</f>
        <v/>
      </c>
      <c r="Q293" s="17" t="str">
        <f>IF(AND(OR(I293="",O293="",P293=""),OR(R293="",W293=""),OR(X293="",AC293="")),"",IF(OR(I293="",O293="",P293=""),0,I293*O293*P293)+IF(OR(R293="",W293=""),0,R293*IFERROR(INDEX(Reference!$B$61:$B$62,MATCH("Bullpen",Reference!$A$61:$A$62,0)),0)*W293)+IF(OR(X293="",AC293=""),0,X293*VLOOKUP(60,Reference!$A$6:$B$11,2,TRUE())*AC293))</f>
        <v/>
      </c>
      <c r="R293" s="16"/>
      <c r="S293" s="16"/>
      <c r="T293" s="16"/>
      <c r="U293" s="17" t="str">
        <f t="shared" si="31"/>
        <v/>
      </c>
      <c r="V293" s="17" t="str">
        <f t="shared" si="32"/>
        <v/>
      </c>
      <c r="W293" s="17" t="str">
        <f>IF(V293="","",VLOOKUP(MAX(V293,0),Reference!$A$17:$B$20,2,TRUE()))</f>
        <v/>
      </c>
      <c r="X293" s="16"/>
      <c r="Y293" s="16"/>
      <c r="Z293" s="16"/>
      <c r="AA293" s="17" t="str">
        <f t="shared" si="33"/>
        <v/>
      </c>
      <c r="AB293" s="17" t="str">
        <f t="shared" si="34"/>
        <v/>
      </c>
      <c r="AC293" s="17" t="str">
        <f>IF(AB293="","",VLOOKUP(MAX(AB293,0),Reference!$A$17:$B$20,2,TRUE()))</f>
        <v/>
      </c>
      <c r="AD293" s="16"/>
    </row>
    <row r="294" spans="1:30" x14ac:dyDescent="0.3">
      <c r="A294" s="19"/>
      <c r="B294" s="16"/>
      <c r="C294" s="16"/>
      <c r="D294" s="16"/>
      <c r="E294" s="18"/>
      <c r="F294" s="18"/>
      <c r="G294" s="15" t="str">
        <f t="shared" si="28"/>
        <v/>
      </c>
      <c r="H294" s="16"/>
      <c r="I294" s="17" t="str">
        <f>IF(H294&lt;&gt;"",H294,IF(G294="","",ROUND(G294*IFERROR(INDEX(Reference!$B$44:$B$50,MATCH(C294,Reference!$A$44:$A$50,0)),0),0)))</f>
        <v/>
      </c>
      <c r="J294" s="16"/>
      <c r="K294" s="16"/>
      <c r="L294" s="17" t="str">
        <f t="shared" si="29"/>
        <v/>
      </c>
      <c r="M294" s="17" t="str">
        <f>IFERROR(INDEX(Roster!$D$5:$D$40,MATCH(B294,Roster!$A$5:$A$40,0)),"")</f>
        <v/>
      </c>
      <c r="N294" s="17" t="str">
        <f t="shared" si="30"/>
        <v/>
      </c>
      <c r="O294" s="17" t="str">
        <f>IF(OR(C294="Bullpen",C294="Game"),IFERROR(INDEX(Reference!$B$61:$B$62,MATCH(C294,Reference!$A$61:$A$62,0)),""),IF(D294="","",VLOOKUP(D294,Reference!$A$6:$B$11,2,TRUE())))</f>
        <v/>
      </c>
      <c r="P294" s="17" t="str">
        <f>IF(N294="","",VLOOKUP(MAX(N294,0),Reference!$A$17:$B$20,2,TRUE()))</f>
        <v/>
      </c>
      <c r="Q294" s="17" t="str">
        <f>IF(AND(OR(I294="",O294="",P294=""),OR(R294="",W294=""),OR(X294="",AC294="")),"",IF(OR(I294="",O294="",P294=""),0,I294*O294*P294)+IF(OR(R294="",W294=""),0,R294*IFERROR(INDEX(Reference!$B$61:$B$62,MATCH("Bullpen",Reference!$A$61:$A$62,0)),0)*W294)+IF(OR(X294="",AC294=""),0,X294*VLOOKUP(60,Reference!$A$6:$B$11,2,TRUE())*AC294))</f>
        <v/>
      </c>
      <c r="R294" s="16"/>
      <c r="S294" s="16"/>
      <c r="T294" s="16"/>
      <c r="U294" s="17" t="str">
        <f t="shared" si="31"/>
        <v/>
      </c>
      <c r="V294" s="17" t="str">
        <f t="shared" si="32"/>
        <v/>
      </c>
      <c r="W294" s="17" t="str">
        <f>IF(V294="","",VLOOKUP(MAX(V294,0),Reference!$A$17:$B$20,2,TRUE()))</f>
        <v/>
      </c>
      <c r="X294" s="16"/>
      <c r="Y294" s="16"/>
      <c r="Z294" s="16"/>
      <c r="AA294" s="17" t="str">
        <f t="shared" si="33"/>
        <v/>
      </c>
      <c r="AB294" s="17" t="str">
        <f t="shared" si="34"/>
        <v/>
      </c>
      <c r="AC294" s="17" t="str">
        <f>IF(AB294="","",VLOOKUP(MAX(AB294,0),Reference!$A$17:$B$20,2,TRUE()))</f>
        <v/>
      </c>
      <c r="AD294" s="16"/>
    </row>
    <row r="295" spans="1:30" x14ac:dyDescent="0.3">
      <c r="A295" s="19"/>
      <c r="B295" s="16"/>
      <c r="C295" s="16"/>
      <c r="D295" s="16"/>
      <c r="E295" s="18"/>
      <c r="F295" s="18"/>
      <c r="G295" s="15" t="str">
        <f t="shared" si="28"/>
        <v/>
      </c>
      <c r="H295" s="16"/>
      <c r="I295" s="17" t="str">
        <f>IF(H295&lt;&gt;"",H295,IF(G295="","",ROUND(G295*IFERROR(INDEX(Reference!$B$44:$B$50,MATCH(C295,Reference!$A$44:$A$50,0)),0),0)))</f>
        <v/>
      </c>
      <c r="J295" s="16"/>
      <c r="K295" s="16"/>
      <c r="L295" s="17" t="str">
        <f t="shared" si="29"/>
        <v/>
      </c>
      <c r="M295" s="17" t="str">
        <f>IFERROR(INDEX(Roster!$D$5:$D$40,MATCH(B295,Roster!$A$5:$A$40,0)),"")</f>
        <v/>
      </c>
      <c r="N295" s="17" t="str">
        <f t="shared" si="30"/>
        <v/>
      </c>
      <c r="O295" s="17" t="str">
        <f>IF(OR(C295="Bullpen",C295="Game"),IFERROR(INDEX(Reference!$B$61:$B$62,MATCH(C295,Reference!$A$61:$A$62,0)),""),IF(D295="","",VLOOKUP(D295,Reference!$A$6:$B$11,2,TRUE())))</f>
        <v/>
      </c>
      <c r="P295" s="17" t="str">
        <f>IF(N295="","",VLOOKUP(MAX(N295,0),Reference!$A$17:$B$20,2,TRUE()))</f>
        <v/>
      </c>
      <c r="Q295" s="17" t="str">
        <f>IF(AND(OR(I295="",O295="",P295=""),OR(R295="",W295=""),OR(X295="",AC295="")),"",IF(OR(I295="",O295="",P295=""),0,I295*O295*P295)+IF(OR(R295="",W295=""),0,R295*IFERROR(INDEX(Reference!$B$61:$B$62,MATCH("Bullpen",Reference!$A$61:$A$62,0)),0)*W295)+IF(OR(X295="",AC295=""),0,X295*VLOOKUP(60,Reference!$A$6:$B$11,2,TRUE())*AC295))</f>
        <v/>
      </c>
      <c r="R295" s="16"/>
      <c r="S295" s="16"/>
      <c r="T295" s="16"/>
      <c r="U295" s="17" t="str">
        <f t="shared" si="31"/>
        <v/>
      </c>
      <c r="V295" s="17" t="str">
        <f t="shared" si="32"/>
        <v/>
      </c>
      <c r="W295" s="17" t="str">
        <f>IF(V295="","",VLOOKUP(MAX(V295,0),Reference!$A$17:$B$20,2,TRUE()))</f>
        <v/>
      </c>
      <c r="X295" s="16"/>
      <c r="Y295" s="16"/>
      <c r="Z295" s="16"/>
      <c r="AA295" s="17" t="str">
        <f t="shared" si="33"/>
        <v/>
      </c>
      <c r="AB295" s="17" t="str">
        <f t="shared" si="34"/>
        <v/>
      </c>
      <c r="AC295" s="17" t="str">
        <f>IF(AB295="","",VLOOKUP(MAX(AB295,0),Reference!$A$17:$B$20,2,TRUE()))</f>
        <v/>
      </c>
      <c r="AD295" s="16"/>
    </row>
    <row r="296" spans="1:30" x14ac:dyDescent="0.3">
      <c r="A296" s="19"/>
      <c r="B296" s="16"/>
      <c r="C296" s="16"/>
      <c r="D296" s="16"/>
      <c r="E296" s="18"/>
      <c r="F296" s="18"/>
      <c r="G296" s="15" t="str">
        <f t="shared" si="28"/>
        <v/>
      </c>
      <c r="H296" s="16"/>
      <c r="I296" s="17" t="str">
        <f>IF(H296&lt;&gt;"",H296,IF(G296="","",ROUND(G296*IFERROR(INDEX(Reference!$B$44:$B$50,MATCH(C296,Reference!$A$44:$A$50,0)),0),0)))</f>
        <v/>
      </c>
      <c r="J296" s="16"/>
      <c r="K296" s="16"/>
      <c r="L296" s="17" t="str">
        <f t="shared" si="29"/>
        <v/>
      </c>
      <c r="M296" s="17" t="str">
        <f>IFERROR(INDEX(Roster!$D$5:$D$40,MATCH(B296,Roster!$A$5:$A$40,0)),"")</f>
        <v/>
      </c>
      <c r="N296" s="17" t="str">
        <f t="shared" si="30"/>
        <v/>
      </c>
      <c r="O296" s="17" t="str">
        <f>IF(OR(C296="Bullpen",C296="Game"),IFERROR(INDEX(Reference!$B$61:$B$62,MATCH(C296,Reference!$A$61:$A$62,0)),""),IF(D296="","",VLOOKUP(D296,Reference!$A$6:$B$11,2,TRUE())))</f>
        <v/>
      </c>
      <c r="P296" s="17" t="str">
        <f>IF(N296="","",VLOOKUP(MAX(N296,0),Reference!$A$17:$B$20,2,TRUE()))</f>
        <v/>
      </c>
      <c r="Q296" s="17" t="str">
        <f>IF(AND(OR(I296="",O296="",P296=""),OR(R296="",W296=""),OR(X296="",AC296="")),"",IF(OR(I296="",O296="",P296=""),0,I296*O296*P296)+IF(OR(R296="",W296=""),0,R296*IFERROR(INDEX(Reference!$B$61:$B$62,MATCH("Bullpen",Reference!$A$61:$A$62,0)),0)*W296)+IF(OR(X296="",AC296=""),0,X296*VLOOKUP(60,Reference!$A$6:$B$11,2,TRUE())*AC296))</f>
        <v/>
      </c>
      <c r="R296" s="16"/>
      <c r="S296" s="16"/>
      <c r="T296" s="16"/>
      <c r="U296" s="17" t="str">
        <f t="shared" si="31"/>
        <v/>
      </c>
      <c r="V296" s="17" t="str">
        <f t="shared" si="32"/>
        <v/>
      </c>
      <c r="W296" s="17" t="str">
        <f>IF(V296="","",VLOOKUP(MAX(V296,0),Reference!$A$17:$B$20,2,TRUE()))</f>
        <v/>
      </c>
      <c r="X296" s="16"/>
      <c r="Y296" s="16"/>
      <c r="Z296" s="16"/>
      <c r="AA296" s="17" t="str">
        <f t="shared" si="33"/>
        <v/>
      </c>
      <c r="AB296" s="17" t="str">
        <f t="shared" si="34"/>
        <v/>
      </c>
      <c r="AC296" s="17" t="str">
        <f>IF(AB296="","",VLOOKUP(MAX(AB296,0),Reference!$A$17:$B$20,2,TRUE()))</f>
        <v/>
      </c>
      <c r="AD296" s="16"/>
    </row>
    <row r="297" spans="1:30" x14ac:dyDescent="0.3">
      <c r="A297" s="19"/>
      <c r="B297" s="16"/>
      <c r="C297" s="16"/>
      <c r="D297" s="16"/>
      <c r="E297" s="18"/>
      <c r="F297" s="18"/>
      <c r="G297" s="15" t="str">
        <f t="shared" si="28"/>
        <v/>
      </c>
      <c r="H297" s="16"/>
      <c r="I297" s="17" t="str">
        <f>IF(H297&lt;&gt;"",H297,IF(G297="","",ROUND(G297*IFERROR(INDEX(Reference!$B$44:$B$50,MATCH(C297,Reference!$A$44:$A$50,0)),0),0)))</f>
        <v/>
      </c>
      <c r="J297" s="16"/>
      <c r="K297" s="16"/>
      <c r="L297" s="17" t="str">
        <f t="shared" si="29"/>
        <v/>
      </c>
      <c r="M297" s="17" t="str">
        <f>IFERROR(INDEX(Roster!$D$5:$D$40,MATCH(B297,Roster!$A$5:$A$40,0)),"")</f>
        <v/>
      </c>
      <c r="N297" s="17" t="str">
        <f t="shared" si="30"/>
        <v/>
      </c>
      <c r="O297" s="17" t="str">
        <f>IF(OR(C297="Bullpen",C297="Game"),IFERROR(INDEX(Reference!$B$61:$B$62,MATCH(C297,Reference!$A$61:$A$62,0)),""),IF(D297="","",VLOOKUP(D297,Reference!$A$6:$B$11,2,TRUE())))</f>
        <v/>
      </c>
      <c r="P297" s="17" t="str">
        <f>IF(N297="","",VLOOKUP(MAX(N297,0),Reference!$A$17:$B$20,2,TRUE()))</f>
        <v/>
      </c>
      <c r="Q297" s="17" t="str">
        <f>IF(AND(OR(I297="",O297="",P297=""),OR(R297="",W297=""),OR(X297="",AC297="")),"",IF(OR(I297="",O297="",P297=""),0,I297*O297*P297)+IF(OR(R297="",W297=""),0,R297*IFERROR(INDEX(Reference!$B$61:$B$62,MATCH("Bullpen",Reference!$A$61:$A$62,0)),0)*W297)+IF(OR(X297="",AC297=""),0,X297*VLOOKUP(60,Reference!$A$6:$B$11,2,TRUE())*AC297))</f>
        <v/>
      </c>
      <c r="R297" s="16"/>
      <c r="S297" s="16"/>
      <c r="T297" s="16"/>
      <c r="U297" s="17" t="str">
        <f t="shared" si="31"/>
        <v/>
      </c>
      <c r="V297" s="17" t="str">
        <f t="shared" si="32"/>
        <v/>
      </c>
      <c r="W297" s="17" t="str">
        <f>IF(V297="","",VLOOKUP(MAX(V297,0),Reference!$A$17:$B$20,2,TRUE()))</f>
        <v/>
      </c>
      <c r="X297" s="16"/>
      <c r="Y297" s="16"/>
      <c r="Z297" s="16"/>
      <c r="AA297" s="17" t="str">
        <f t="shared" si="33"/>
        <v/>
      </c>
      <c r="AB297" s="17" t="str">
        <f t="shared" si="34"/>
        <v/>
      </c>
      <c r="AC297" s="17" t="str">
        <f>IF(AB297="","",VLOOKUP(MAX(AB297,0),Reference!$A$17:$B$20,2,TRUE()))</f>
        <v/>
      </c>
      <c r="AD297" s="16"/>
    </row>
    <row r="298" spans="1:30" x14ac:dyDescent="0.3">
      <c r="A298" s="19"/>
      <c r="B298" s="16"/>
      <c r="C298" s="16"/>
      <c r="D298" s="16"/>
      <c r="E298" s="18"/>
      <c r="F298" s="18"/>
      <c r="G298" s="15" t="str">
        <f t="shared" si="28"/>
        <v/>
      </c>
      <c r="H298" s="16"/>
      <c r="I298" s="17" t="str">
        <f>IF(H298&lt;&gt;"",H298,IF(G298="","",ROUND(G298*IFERROR(INDEX(Reference!$B$44:$B$50,MATCH(C298,Reference!$A$44:$A$50,0)),0),0)))</f>
        <v/>
      </c>
      <c r="J298" s="16"/>
      <c r="K298" s="16"/>
      <c r="L298" s="17" t="str">
        <f t="shared" si="29"/>
        <v/>
      </c>
      <c r="M298" s="17" t="str">
        <f>IFERROR(INDEX(Roster!$D$5:$D$40,MATCH(B298,Roster!$A$5:$A$40,0)),"")</f>
        <v/>
      </c>
      <c r="N298" s="17" t="str">
        <f t="shared" si="30"/>
        <v/>
      </c>
      <c r="O298" s="17" t="str">
        <f>IF(OR(C298="Bullpen",C298="Game"),IFERROR(INDEX(Reference!$B$61:$B$62,MATCH(C298,Reference!$A$61:$A$62,0)),""),IF(D298="","",VLOOKUP(D298,Reference!$A$6:$B$11,2,TRUE())))</f>
        <v/>
      </c>
      <c r="P298" s="17" t="str">
        <f>IF(N298="","",VLOOKUP(MAX(N298,0),Reference!$A$17:$B$20,2,TRUE()))</f>
        <v/>
      </c>
      <c r="Q298" s="17" t="str">
        <f>IF(AND(OR(I298="",O298="",P298=""),OR(R298="",W298=""),OR(X298="",AC298="")),"",IF(OR(I298="",O298="",P298=""),0,I298*O298*P298)+IF(OR(R298="",W298=""),0,R298*IFERROR(INDEX(Reference!$B$61:$B$62,MATCH("Bullpen",Reference!$A$61:$A$62,0)),0)*W298)+IF(OR(X298="",AC298=""),0,X298*VLOOKUP(60,Reference!$A$6:$B$11,2,TRUE())*AC298))</f>
        <v/>
      </c>
      <c r="R298" s="16"/>
      <c r="S298" s="16"/>
      <c r="T298" s="16"/>
      <c r="U298" s="17" t="str">
        <f t="shared" si="31"/>
        <v/>
      </c>
      <c r="V298" s="17" t="str">
        <f t="shared" si="32"/>
        <v/>
      </c>
      <c r="W298" s="17" t="str">
        <f>IF(V298="","",VLOOKUP(MAX(V298,0),Reference!$A$17:$B$20,2,TRUE()))</f>
        <v/>
      </c>
      <c r="X298" s="16"/>
      <c r="Y298" s="16"/>
      <c r="Z298" s="16"/>
      <c r="AA298" s="17" t="str">
        <f t="shared" si="33"/>
        <v/>
      </c>
      <c r="AB298" s="17" t="str">
        <f t="shared" si="34"/>
        <v/>
      </c>
      <c r="AC298" s="17" t="str">
        <f>IF(AB298="","",VLOOKUP(MAX(AB298,0),Reference!$A$17:$B$20,2,TRUE()))</f>
        <v/>
      </c>
      <c r="AD298" s="16"/>
    </row>
    <row r="299" spans="1:30" x14ac:dyDescent="0.3">
      <c r="A299" s="19"/>
      <c r="B299" s="16"/>
      <c r="C299" s="16"/>
      <c r="D299" s="16"/>
      <c r="E299" s="18"/>
      <c r="F299" s="18"/>
      <c r="G299" s="15" t="str">
        <f t="shared" si="28"/>
        <v/>
      </c>
      <c r="H299" s="16"/>
      <c r="I299" s="17" t="str">
        <f>IF(H299&lt;&gt;"",H299,IF(G299="","",ROUND(G299*IFERROR(INDEX(Reference!$B$44:$B$50,MATCH(C299,Reference!$A$44:$A$50,0)),0),0)))</f>
        <v/>
      </c>
      <c r="J299" s="16"/>
      <c r="K299" s="16"/>
      <c r="L299" s="17" t="str">
        <f t="shared" si="29"/>
        <v/>
      </c>
      <c r="M299" s="17" t="str">
        <f>IFERROR(INDEX(Roster!$D$5:$D$40,MATCH(B299,Roster!$A$5:$A$40,0)),"")</f>
        <v/>
      </c>
      <c r="N299" s="17" t="str">
        <f t="shared" si="30"/>
        <v/>
      </c>
      <c r="O299" s="17" t="str">
        <f>IF(OR(C299="Bullpen",C299="Game"),IFERROR(INDEX(Reference!$B$61:$B$62,MATCH(C299,Reference!$A$61:$A$62,0)),""),IF(D299="","",VLOOKUP(D299,Reference!$A$6:$B$11,2,TRUE())))</f>
        <v/>
      </c>
      <c r="P299" s="17" t="str">
        <f>IF(N299="","",VLOOKUP(MAX(N299,0),Reference!$A$17:$B$20,2,TRUE()))</f>
        <v/>
      </c>
      <c r="Q299" s="17" t="str">
        <f>IF(AND(OR(I299="",O299="",P299=""),OR(R299="",W299=""),OR(X299="",AC299="")),"",IF(OR(I299="",O299="",P299=""),0,I299*O299*P299)+IF(OR(R299="",W299=""),0,R299*IFERROR(INDEX(Reference!$B$61:$B$62,MATCH("Bullpen",Reference!$A$61:$A$62,0)),0)*W299)+IF(OR(X299="",AC299=""),0,X299*VLOOKUP(60,Reference!$A$6:$B$11,2,TRUE())*AC299))</f>
        <v/>
      </c>
      <c r="R299" s="16"/>
      <c r="S299" s="16"/>
      <c r="T299" s="16"/>
      <c r="U299" s="17" t="str">
        <f t="shared" si="31"/>
        <v/>
      </c>
      <c r="V299" s="17" t="str">
        <f t="shared" si="32"/>
        <v/>
      </c>
      <c r="W299" s="17" t="str">
        <f>IF(V299="","",VLOOKUP(MAX(V299,0),Reference!$A$17:$B$20,2,TRUE()))</f>
        <v/>
      </c>
      <c r="X299" s="16"/>
      <c r="Y299" s="16"/>
      <c r="Z299" s="16"/>
      <c r="AA299" s="17" t="str">
        <f t="shared" si="33"/>
        <v/>
      </c>
      <c r="AB299" s="17" t="str">
        <f t="shared" si="34"/>
        <v/>
      </c>
      <c r="AC299" s="17" t="str">
        <f>IF(AB299="","",VLOOKUP(MAX(AB299,0),Reference!$A$17:$B$20,2,TRUE()))</f>
        <v/>
      </c>
      <c r="AD299" s="16"/>
    </row>
    <row r="300" spans="1:30" x14ac:dyDescent="0.3">
      <c r="A300" s="19"/>
      <c r="B300" s="16"/>
      <c r="C300" s="16"/>
      <c r="D300" s="16"/>
      <c r="E300" s="18"/>
      <c r="F300" s="18"/>
      <c r="G300" s="15" t="str">
        <f t="shared" si="28"/>
        <v/>
      </c>
      <c r="H300" s="16"/>
      <c r="I300" s="17" t="str">
        <f>IF(H300&lt;&gt;"",H300,IF(G300="","",ROUND(G300*IFERROR(INDEX(Reference!$B$44:$B$50,MATCH(C300,Reference!$A$44:$A$50,0)),0),0)))</f>
        <v/>
      </c>
      <c r="J300" s="16"/>
      <c r="K300" s="16"/>
      <c r="L300" s="17" t="str">
        <f t="shared" si="29"/>
        <v/>
      </c>
      <c r="M300" s="17" t="str">
        <f>IFERROR(INDEX(Roster!$D$5:$D$40,MATCH(B300,Roster!$A$5:$A$40,0)),"")</f>
        <v/>
      </c>
      <c r="N300" s="17" t="str">
        <f t="shared" si="30"/>
        <v/>
      </c>
      <c r="O300" s="17" t="str">
        <f>IF(OR(C300="Bullpen",C300="Game"),IFERROR(INDEX(Reference!$B$61:$B$62,MATCH(C300,Reference!$A$61:$A$62,0)),""),IF(D300="","",VLOOKUP(D300,Reference!$A$6:$B$11,2,TRUE())))</f>
        <v/>
      </c>
      <c r="P300" s="17" t="str">
        <f>IF(N300="","",VLOOKUP(MAX(N300,0),Reference!$A$17:$B$20,2,TRUE()))</f>
        <v/>
      </c>
      <c r="Q300" s="17" t="str">
        <f>IF(AND(OR(I300="",O300="",P300=""),OR(R300="",W300=""),OR(X300="",AC300="")),"",IF(OR(I300="",O300="",P300=""),0,I300*O300*P300)+IF(OR(R300="",W300=""),0,R300*IFERROR(INDEX(Reference!$B$61:$B$62,MATCH("Bullpen",Reference!$A$61:$A$62,0)),0)*W300)+IF(OR(X300="",AC300=""),0,X300*VLOOKUP(60,Reference!$A$6:$B$11,2,TRUE())*AC300))</f>
        <v/>
      </c>
      <c r="R300" s="16"/>
      <c r="S300" s="16"/>
      <c r="T300" s="16"/>
      <c r="U300" s="17" t="str">
        <f t="shared" si="31"/>
        <v/>
      </c>
      <c r="V300" s="17" t="str">
        <f t="shared" si="32"/>
        <v/>
      </c>
      <c r="W300" s="17" t="str">
        <f>IF(V300="","",VLOOKUP(MAX(V300,0),Reference!$A$17:$B$20,2,TRUE()))</f>
        <v/>
      </c>
      <c r="X300" s="16"/>
      <c r="Y300" s="16"/>
      <c r="Z300" s="16"/>
      <c r="AA300" s="17" t="str">
        <f t="shared" si="33"/>
        <v/>
      </c>
      <c r="AB300" s="17" t="str">
        <f t="shared" si="34"/>
        <v/>
      </c>
      <c r="AC300" s="17" t="str">
        <f>IF(AB300="","",VLOOKUP(MAX(AB300,0),Reference!$A$17:$B$20,2,TRUE()))</f>
        <v/>
      </c>
      <c r="AD300" s="16"/>
    </row>
  </sheetData>
  <mergeCells count="2">
    <mergeCell ref="A1:AD1"/>
    <mergeCell ref="A2:A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7"/>
  <sheetViews>
    <sheetView showGridLines="0" zoomScaleNormal="100" workbookViewId="0">
      <selection activeCell="B4" sqref="B4"/>
    </sheetView>
  </sheetViews>
  <sheetFormatPr defaultColWidth="8.6640625" defaultRowHeight="14.4" x14ac:dyDescent="0.3"/>
  <cols>
    <col min="1" max="1" width="30" customWidth="1"/>
    <col min="2" max="2" width="20" customWidth="1"/>
    <col min="3" max="5" width="14" customWidth="1"/>
  </cols>
  <sheetData>
    <row r="1" spans="1:5" ht="21" customHeight="1" x14ac:dyDescent="0.4">
      <c r="A1" s="29" t="s">
        <v>142</v>
      </c>
      <c r="B1" s="29"/>
      <c r="C1" s="29"/>
      <c r="D1" s="29"/>
      <c r="E1" s="29"/>
    </row>
    <row r="2" spans="1:5" x14ac:dyDescent="0.3">
      <c r="A2" s="33" t="s">
        <v>143</v>
      </c>
      <c r="B2" s="33"/>
      <c r="C2" s="33"/>
      <c r="D2" s="33"/>
      <c r="E2" s="33"/>
    </row>
    <row r="4" spans="1:5" x14ac:dyDescent="0.3">
      <c r="A4" s="20" t="s">
        <v>144</v>
      </c>
      <c r="B4" s="2" t="s">
        <v>104</v>
      </c>
    </row>
    <row r="5" spans="1:5" x14ac:dyDescent="0.3">
      <c r="A5" s="20" t="s">
        <v>145</v>
      </c>
      <c r="B5" s="21">
        <f ca="1">TODAY()</f>
        <v>46295</v>
      </c>
    </row>
    <row r="7" spans="1:5" ht="15" customHeight="1" x14ac:dyDescent="0.3">
      <c r="A7" s="31" t="s">
        <v>146</v>
      </c>
      <c r="B7" s="31"/>
      <c r="C7" s="31"/>
      <c r="D7" s="31"/>
      <c r="E7" s="31"/>
    </row>
    <row r="8" spans="1:5" x14ac:dyDescent="0.3">
      <c r="A8" s="10" t="s">
        <v>147</v>
      </c>
      <c r="B8" s="15">
        <f ca="1">SUMIFS('Throw Log'!$Q$5:$Q$300,'Throw Log'!$B$5:$B$300,$B$4,'Throw Log'!$A$5:$A$300,$B$5)</f>
        <v>0</v>
      </c>
    </row>
    <row r="9" spans="1:5" x14ac:dyDescent="0.3">
      <c r="A9" s="10" t="s">
        <v>148</v>
      </c>
      <c r="B9" s="15">
        <f ca="1">SUMIFS('Throw Log'!$Q$5:$Q$300,'Throw Log'!$B$5:$B$300,$B$4,'Throw Log'!$A$5:$A$300,"&gt;="&amp;($B$5-6),'Throw Log'!$A$5:$A$300,"&lt;="&amp;$B$5)/7</f>
        <v>70.188571428571422</v>
      </c>
    </row>
    <row r="10" spans="1:5" x14ac:dyDescent="0.3">
      <c r="A10" s="10" t="s">
        <v>149</v>
      </c>
      <c r="B10" s="15">
        <f ca="1">SUMIFS('Throw Log'!$Q$5:$Q$300,'Throw Log'!$B$5:$B$300,$B$4,'Throw Log'!$A$5:$A$300,"&gt;="&amp;($B$5-27),'Throw Log'!$A$5:$A$300,"&lt;="&amp;$B$5)/28</f>
        <v>63.089999999999996</v>
      </c>
    </row>
    <row r="11" spans="1:5" x14ac:dyDescent="0.3">
      <c r="A11" s="22" t="s">
        <v>150</v>
      </c>
      <c r="B11" s="23">
        <f ca="1">IFERROR(B9/B10,"N/A")</f>
        <v>1.1125150012453864</v>
      </c>
    </row>
    <row r="12" spans="1:5" x14ac:dyDescent="0.3">
      <c r="A12" s="22" t="s">
        <v>38</v>
      </c>
      <c r="B12" s="24" t="str">
        <f ca="1">IF(OR(B10=0,B11="N/A"),"Insufficient history (need ~28 days logged)",IFERROR(VLOOKUP(B11,Reference!$A$24:$C$27,2,TRUE()),"Insufficient history"))</f>
        <v>Sweet Spot</v>
      </c>
    </row>
    <row r="13" spans="1:5" ht="45" customHeight="1" x14ac:dyDescent="0.3">
      <c r="A13" s="10" t="s">
        <v>39</v>
      </c>
      <c r="B13" s="34" t="str">
        <f ca="1">IF(OR(B10=0,B11="N/A"),"Log at least 28 days of throws for a reliable trend. Meanwhile, rely on RPE and arm feedback before adding volume.",IFERROR(VLOOKUP(B11,Reference!$A$24:$C$27,3,TRUE()),""))</f>
        <v>0.8–1.3 — ideal loading zone; maintain the planned progression.</v>
      </c>
      <c r="C13" s="34"/>
      <c r="D13" s="34"/>
      <c r="E13" s="34"/>
    </row>
    <row r="15" spans="1:5" x14ac:dyDescent="0.3">
      <c r="A15" s="11" t="s">
        <v>151</v>
      </c>
      <c r="B15" s="25">
        <f ca="1">IFERROR(B8/B10,"N/A")</f>
        <v>0</v>
      </c>
    </row>
    <row r="16" spans="1:5" x14ac:dyDescent="0.3">
      <c r="A16" s="11" t="s">
        <v>152</v>
      </c>
      <c r="B16" s="35" t="str">
        <f ca="1">IF(B15="N/A","",IF(B15&gt;1.5,"High single-day spike — mandatory easy/rest day next session","OK"))</f>
        <v>OK</v>
      </c>
      <c r="C16" s="35"/>
      <c r="D16" s="35"/>
      <c r="E16" s="35"/>
    </row>
    <row r="18" spans="1:5" ht="15" customHeight="1" x14ac:dyDescent="0.3">
      <c r="A18" s="31" t="s">
        <v>153</v>
      </c>
      <c r="B18" s="31"/>
      <c r="C18" s="31"/>
      <c r="D18" s="31"/>
      <c r="E18" s="31"/>
    </row>
    <row r="19" spans="1:5" ht="26.25" customHeight="1" x14ac:dyDescent="0.3">
      <c r="A19" s="8" t="s">
        <v>108</v>
      </c>
      <c r="B19" s="8" t="s">
        <v>154</v>
      </c>
      <c r="C19" s="8" t="s">
        <v>155</v>
      </c>
      <c r="D19" s="8" t="s">
        <v>156</v>
      </c>
    </row>
    <row r="20" spans="1:5" x14ac:dyDescent="0.3">
      <c r="A20" s="26">
        <f ca="1">$B$5-27</f>
        <v>46268</v>
      </c>
      <c r="B20" s="15">
        <f ca="1">SUMIFS('Throw Log'!$Q$5:$Q$300,'Throw Log'!$B$5:$B$300,$B$4,'Throw Log'!$A$5:$A$300,A20)</f>
        <v>119</v>
      </c>
      <c r="C20" s="15">
        <f t="shared" ref="C20:C47" ca="1" si="0">$B$9</f>
        <v>70.188571428571422</v>
      </c>
      <c r="D20" s="15">
        <f t="shared" ref="D20:D47" ca="1" si="1">$B$10</f>
        <v>63.089999999999996</v>
      </c>
    </row>
    <row r="21" spans="1:5" x14ac:dyDescent="0.3">
      <c r="A21" s="26">
        <f ca="1">$B$5-26</f>
        <v>46269</v>
      </c>
      <c r="B21" s="15">
        <f ca="1">SUMIFS('Throw Log'!$Q$5:$Q$300,'Throw Log'!$B$5:$B$300,$B$4,'Throw Log'!$A$5:$A$300,A21)</f>
        <v>0</v>
      </c>
      <c r="C21" s="15">
        <f t="shared" ca="1" si="0"/>
        <v>70.188571428571422</v>
      </c>
      <c r="D21" s="15">
        <f t="shared" ca="1" si="1"/>
        <v>63.089999999999996</v>
      </c>
    </row>
    <row r="22" spans="1:5" x14ac:dyDescent="0.3">
      <c r="A22" s="26">
        <f ca="1">$B$5-25</f>
        <v>46270</v>
      </c>
      <c r="B22" s="15">
        <f ca="1">SUMIFS('Throw Log'!$Q$5:$Q$300,'Throw Log'!$B$5:$B$300,$B$4,'Throw Log'!$A$5:$A$300,A22)</f>
        <v>0</v>
      </c>
      <c r="C22" s="15">
        <f t="shared" ca="1" si="0"/>
        <v>70.188571428571422</v>
      </c>
      <c r="D22" s="15">
        <f t="shared" ca="1" si="1"/>
        <v>63.089999999999996</v>
      </c>
    </row>
    <row r="23" spans="1:5" x14ac:dyDescent="0.3">
      <c r="A23" s="26">
        <f ca="1">$B$5-24</f>
        <v>46271</v>
      </c>
      <c r="B23" s="15">
        <f ca="1">SUMIFS('Throw Log'!$Q$5:$Q$300,'Throw Log'!$B$5:$B$300,$B$4,'Throw Log'!$A$5:$A$300,A23)</f>
        <v>119</v>
      </c>
      <c r="C23" s="15">
        <f t="shared" ca="1" si="0"/>
        <v>70.188571428571422</v>
      </c>
      <c r="D23" s="15">
        <f t="shared" ca="1" si="1"/>
        <v>63.089999999999996</v>
      </c>
    </row>
    <row r="24" spans="1:5" x14ac:dyDescent="0.3">
      <c r="A24" s="26">
        <f ca="1">$B$5-23</f>
        <v>46272</v>
      </c>
      <c r="B24" s="15">
        <f ca="1">SUMIFS('Throw Log'!$Q$5:$Q$300,'Throw Log'!$B$5:$B$300,$B$4,'Throw Log'!$A$5:$A$300,A24)</f>
        <v>35.1</v>
      </c>
      <c r="C24" s="15">
        <f t="shared" ca="1" si="0"/>
        <v>70.188571428571422</v>
      </c>
      <c r="D24" s="15">
        <f t="shared" ca="1" si="1"/>
        <v>63.089999999999996</v>
      </c>
    </row>
    <row r="25" spans="1:5" x14ac:dyDescent="0.3">
      <c r="A25" s="26">
        <f ca="1">$B$5-22</f>
        <v>46273</v>
      </c>
      <c r="B25" s="15">
        <f ca="1">SUMIFS('Throw Log'!$Q$5:$Q$300,'Throw Log'!$B$5:$B$300,$B$4,'Throw Log'!$A$5:$A$300,A25)</f>
        <v>0</v>
      </c>
      <c r="C25" s="15">
        <f t="shared" ca="1" si="0"/>
        <v>70.188571428571422</v>
      </c>
      <c r="D25" s="15">
        <f t="shared" ca="1" si="1"/>
        <v>63.089999999999996</v>
      </c>
    </row>
    <row r="26" spans="1:5" x14ac:dyDescent="0.3">
      <c r="A26" s="26">
        <f ca="1">$B$5-21</f>
        <v>46274</v>
      </c>
      <c r="B26" s="15">
        <f ca="1">SUMIFS('Throw Log'!$Q$5:$Q$300,'Throw Log'!$B$5:$B$300,$B$4,'Throw Log'!$A$5:$A$300,A26)</f>
        <v>35.1</v>
      </c>
      <c r="C26" s="15">
        <f t="shared" ca="1" si="0"/>
        <v>70.188571428571422</v>
      </c>
      <c r="D26" s="15">
        <f t="shared" ca="1" si="1"/>
        <v>63.089999999999996</v>
      </c>
    </row>
    <row r="27" spans="1:5" x14ac:dyDescent="0.3">
      <c r="A27" s="26">
        <f ca="1">$B$5-20</f>
        <v>46275</v>
      </c>
      <c r="B27" s="15">
        <f ca="1">SUMIFS('Throw Log'!$Q$5:$Q$300,'Throw Log'!$B$5:$B$300,$B$4,'Throw Log'!$A$5:$A$300,A27)</f>
        <v>91</v>
      </c>
      <c r="C27" s="15">
        <f t="shared" ca="1" si="0"/>
        <v>70.188571428571422</v>
      </c>
      <c r="D27" s="15">
        <f t="shared" ca="1" si="1"/>
        <v>63.089999999999996</v>
      </c>
    </row>
    <row r="28" spans="1:5" x14ac:dyDescent="0.3">
      <c r="A28" s="26">
        <f ca="1">$B$5-19</f>
        <v>46276</v>
      </c>
      <c r="B28" s="15">
        <f ca="1">SUMIFS('Throw Log'!$Q$5:$Q$300,'Throw Log'!$B$5:$B$300,$B$4,'Throw Log'!$A$5:$A$300,A28)</f>
        <v>119</v>
      </c>
      <c r="C28" s="15">
        <f t="shared" ca="1" si="0"/>
        <v>70.188571428571422</v>
      </c>
      <c r="D28" s="15">
        <f t="shared" ca="1" si="1"/>
        <v>63.089999999999996</v>
      </c>
    </row>
    <row r="29" spans="1:5" x14ac:dyDescent="0.3">
      <c r="A29" s="26">
        <f ca="1">$B$5-18</f>
        <v>46277</v>
      </c>
      <c r="B29" s="15">
        <f ca="1">SUMIFS('Throw Log'!$Q$5:$Q$300,'Throw Log'!$B$5:$B$300,$B$4,'Throw Log'!$A$5:$A$300,A29)</f>
        <v>0</v>
      </c>
      <c r="C29" s="15">
        <f t="shared" ca="1" si="0"/>
        <v>70.188571428571422</v>
      </c>
      <c r="D29" s="15">
        <f t="shared" ca="1" si="1"/>
        <v>63.089999999999996</v>
      </c>
    </row>
    <row r="30" spans="1:5" x14ac:dyDescent="0.3">
      <c r="A30" s="26">
        <f ca="1">$B$5-17</f>
        <v>46278</v>
      </c>
      <c r="B30" s="15">
        <f ca="1">SUMIFS('Throw Log'!$Q$5:$Q$300,'Throw Log'!$B$5:$B$300,$B$4,'Throw Log'!$A$5:$A$300,A30)</f>
        <v>35.1</v>
      </c>
      <c r="C30" s="15">
        <f t="shared" ca="1" si="0"/>
        <v>70.188571428571422</v>
      </c>
      <c r="D30" s="15">
        <f t="shared" ca="1" si="1"/>
        <v>63.089999999999996</v>
      </c>
    </row>
    <row r="31" spans="1:5" x14ac:dyDescent="0.3">
      <c r="A31" s="26">
        <f ca="1">$B$5-16</f>
        <v>46279</v>
      </c>
      <c r="B31" s="15">
        <f ca="1">SUMIFS('Throw Log'!$Q$5:$Q$300,'Throw Log'!$B$5:$B$300,$B$4,'Throw Log'!$A$5:$A$300,A31)</f>
        <v>138</v>
      </c>
      <c r="C31" s="15">
        <f t="shared" ca="1" si="0"/>
        <v>70.188571428571422</v>
      </c>
      <c r="D31" s="15">
        <f t="shared" ca="1" si="1"/>
        <v>63.089999999999996</v>
      </c>
    </row>
    <row r="32" spans="1:5" x14ac:dyDescent="0.3">
      <c r="A32" s="26">
        <f ca="1">$B$5-15</f>
        <v>46280</v>
      </c>
      <c r="B32" s="15">
        <f ca="1">SUMIFS('Throw Log'!$Q$5:$Q$300,'Throw Log'!$B$5:$B$300,$B$4,'Throw Log'!$A$5:$A$300,A32)</f>
        <v>0</v>
      </c>
      <c r="C32" s="15">
        <f t="shared" ca="1" si="0"/>
        <v>70.188571428571422</v>
      </c>
      <c r="D32" s="15">
        <f t="shared" ca="1" si="1"/>
        <v>63.089999999999996</v>
      </c>
    </row>
    <row r="33" spans="1:4" x14ac:dyDescent="0.3">
      <c r="A33" s="26">
        <f ca="1">$B$5-14</f>
        <v>46281</v>
      </c>
      <c r="B33" s="15">
        <f ca="1">SUMIFS('Throw Log'!$Q$5:$Q$300,'Throw Log'!$B$5:$B$300,$B$4,'Throw Log'!$A$5:$A$300,A33)</f>
        <v>83.3</v>
      </c>
      <c r="C33" s="15">
        <f t="shared" ca="1" si="0"/>
        <v>70.188571428571422</v>
      </c>
      <c r="D33" s="15">
        <f t="shared" ca="1" si="1"/>
        <v>63.089999999999996</v>
      </c>
    </row>
    <row r="34" spans="1:4" x14ac:dyDescent="0.3">
      <c r="A34" s="26">
        <f ca="1">$B$5-13</f>
        <v>46282</v>
      </c>
      <c r="B34" s="15">
        <f ca="1">SUMIFS('Throw Log'!$Q$5:$Q$300,'Throw Log'!$B$5:$B$300,$B$4,'Throw Log'!$A$5:$A$300,A34)</f>
        <v>162</v>
      </c>
      <c r="C34" s="15">
        <f t="shared" ca="1" si="0"/>
        <v>70.188571428571422</v>
      </c>
      <c r="D34" s="15">
        <f t="shared" ca="1" si="1"/>
        <v>63.089999999999996</v>
      </c>
    </row>
    <row r="35" spans="1:4" x14ac:dyDescent="0.3">
      <c r="A35" s="26">
        <f ca="1">$B$5-12</f>
        <v>46283</v>
      </c>
      <c r="B35" s="15">
        <f ca="1">SUMIFS('Throw Log'!$Q$5:$Q$300,'Throw Log'!$B$5:$B$300,$B$4,'Throw Log'!$A$5:$A$300,A35)</f>
        <v>35.1</v>
      </c>
      <c r="C35" s="15">
        <f t="shared" ca="1" si="0"/>
        <v>70.188571428571422</v>
      </c>
      <c r="D35" s="15">
        <f t="shared" ca="1" si="1"/>
        <v>63.089999999999996</v>
      </c>
    </row>
    <row r="36" spans="1:4" x14ac:dyDescent="0.3">
      <c r="A36" s="26">
        <f ca="1">$B$5-11</f>
        <v>46284</v>
      </c>
      <c r="B36" s="15">
        <f ca="1">SUMIFS('Throw Log'!$Q$5:$Q$300,'Throw Log'!$B$5:$B$300,$B$4,'Throw Log'!$A$5:$A$300,A36)</f>
        <v>0</v>
      </c>
      <c r="C36" s="15">
        <f t="shared" ca="1" si="0"/>
        <v>70.188571428571422</v>
      </c>
      <c r="D36" s="15">
        <f t="shared" ca="1" si="1"/>
        <v>63.089999999999996</v>
      </c>
    </row>
    <row r="37" spans="1:4" x14ac:dyDescent="0.3">
      <c r="A37" s="26">
        <f ca="1">$B$5-10</f>
        <v>46285</v>
      </c>
      <c r="B37" s="15">
        <f ca="1">SUMIFS('Throw Log'!$Q$5:$Q$300,'Throw Log'!$B$5:$B$300,$B$4,'Throw Log'!$A$5:$A$300,A37)</f>
        <v>35.1</v>
      </c>
      <c r="C37" s="15">
        <f t="shared" ca="1" si="0"/>
        <v>70.188571428571422</v>
      </c>
      <c r="D37" s="15">
        <f t="shared" ca="1" si="1"/>
        <v>63.089999999999996</v>
      </c>
    </row>
    <row r="38" spans="1:4" x14ac:dyDescent="0.3">
      <c r="A38" s="26">
        <f ca="1">$B$5-9</f>
        <v>46286</v>
      </c>
      <c r="B38" s="15">
        <f ca="1">SUMIFS('Throw Log'!$Q$5:$Q$300,'Throw Log'!$B$5:$B$300,$B$4,'Throw Log'!$A$5:$A$300,A38)</f>
        <v>150</v>
      </c>
      <c r="C38" s="15">
        <f t="shared" ca="1" si="0"/>
        <v>70.188571428571422</v>
      </c>
      <c r="D38" s="15">
        <f t="shared" ca="1" si="1"/>
        <v>63.089999999999996</v>
      </c>
    </row>
    <row r="39" spans="1:4" x14ac:dyDescent="0.3">
      <c r="A39" s="26">
        <f ca="1">$B$5-8</f>
        <v>46287</v>
      </c>
      <c r="B39" s="15">
        <f ca="1">SUMIFS('Throw Log'!$Q$5:$Q$300,'Throw Log'!$B$5:$B$300,$B$4,'Throw Log'!$A$5:$A$300,A39)</f>
        <v>35.1</v>
      </c>
      <c r="C39" s="15">
        <f t="shared" ca="1" si="0"/>
        <v>70.188571428571422</v>
      </c>
      <c r="D39" s="15">
        <f t="shared" ca="1" si="1"/>
        <v>63.089999999999996</v>
      </c>
    </row>
    <row r="40" spans="1:4" x14ac:dyDescent="0.3">
      <c r="A40" s="26">
        <f ca="1">$B$5-7</f>
        <v>46288</v>
      </c>
      <c r="B40" s="15">
        <f ca="1">SUMIFS('Throw Log'!$Q$5:$Q$300,'Throw Log'!$B$5:$B$300,$B$4,'Throw Log'!$A$5:$A$300,A40)</f>
        <v>83.3</v>
      </c>
      <c r="C40" s="15">
        <f t="shared" ca="1" si="0"/>
        <v>70.188571428571422</v>
      </c>
      <c r="D40" s="15">
        <f t="shared" ca="1" si="1"/>
        <v>63.089999999999996</v>
      </c>
    </row>
    <row r="41" spans="1:4" x14ac:dyDescent="0.3">
      <c r="A41" s="26">
        <f ca="1">$B$5-6</f>
        <v>46289</v>
      </c>
      <c r="B41" s="15">
        <f ca="1">SUMIFS('Throw Log'!$Q$5:$Q$300,'Throw Log'!$B$5:$B$300,$B$4,'Throw Log'!$A$5:$A$300,A41)</f>
        <v>35.1</v>
      </c>
      <c r="C41" s="15">
        <f t="shared" ca="1" si="0"/>
        <v>70.188571428571422</v>
      </c>
      <c r="D41" s="15">
        <f t="shared" ca="1" si="1"/>
        <v>63.089999999999996</v>
      </c>
    </row>
    <row r="42" spans="1:4" x14ac:dyDescent="0.3">
      <c r="A42" s="26">
        <f ca="1">$B$5-5</f>
        <v>46290</v>
      </c>
      <c r="B42" s="15">
        <f ca="1">SUMIFS('Throw Log'!$Q$5:$Q$300,'Throw Log'!$B$5:$B$300,$B$4,'Throw Log'!$A$5:$A$300,A42)</f>
        <v>150</v>
      </c>
      <c r="C42" s="15">
        <f t="shared" ca="1" si="0"/>
        <v>70.188571428571422</v>
      </c>
      <c r="D42" s="15">
        <f t="shared" ca="1" si="1"/>
        <v>63.089999999999996</v>
      </c>
    </row>
    <row r="43" spans="1:4" x14ac:dyDescent="0.3">
      <c r="A43" s="26">
        <f ca="1">$B$5-4</f>
        <v>46291</v>
      </c>
      <c r="B43" s="15">
        <f ca="1">SUMIFS('Throw Log'!$Q$5:$Q$300,'Throw Log'!$B$5:$B$300,$B$4,'Throw Log'!$A$5:$A$300,A43)</f>
        <v>35.1</v>
      </c>
      <c r="C43" s="15">
        <f t="shared" ca="1" si="0"/>
        <v>70.188571428571422</v>
      </c>
      <c r="D43" s="15">
        <f t="shared" ca="1" si="1"/>
        <v>63.089999999999996</v>
      </c>
    </row>
    <row r="44" spans="1:4" x14ac:dyDescent="0.3">
      <c r="A44" s="26">
        <f ca="1">$B$5-3</f>
        <v>46292</v>
      </c>
      <c r="B44" s="15">
        <f ca="1">SUMIFS('Throw Log'!$Q$5:$Q$300,'Throw Log'!$B$5:$B$300,$B$4,'Throw Log'!$A$5:$A$300,A44)</f>
        <v>50.7</v>
      </c>
      <c r="C44" s="15">
        <f t="shared" ca="1" si="0"/>
        <v>70.188571428571422</v>
      </c>
      <c r="D44" s="15">
        <f t="shared" ca="1" si="1"/>
        <v>63.089999999999996</v>
      </c>
    </row>
    <row r="45" spans="1:4" x14ac:dyDescent="0.3">
      <c r="A45" s="26">
        <f ca="1">$B$5-2</f>
        <v>46293</v>
      </c>
      <c r="B45" s="15">
        <f ca="1">SUMIFS('Throw Log'!$Q$5:$Q$300,'Throw Log'!$B$5:$B$300,$B$4,'Throw Log'!$A$5:$A$300,A45)</f>
        <v>182.2</v>
      </c>
      <c r="C45" s="15">
        <f t="shared" ca="1" si="0"/>
        <v>70.188571428571422</v>
      </c>
      <c r="D45" s="15">
        <f t="shared" ca="1" si="1"/>
        <v>63.089999999999996</v>
      </c>
    </row>
    <row r="46" spans="1:4" x14ac:dyDescent="0.3">
      <c r="A46" s="26">
        <f ca="1">$B$5-1</f>
        <v>46294</v>
      </c>
      <c r="B46" s="15">
        <f ca="1">SUMIFS('Throw Log'!$Q$5:$Q$300,'Throw Log'!$B$5:$B$300,$B$4,'Throw Log'!$A$5:$A$300,A46)</f>
        <v>38.22</v>
      </c>
      <c r="C46" s="15">
        <f t="shared" ca="1" si="0"/>
        <v>70.188571428571422</v>
      </c>
      <c r="D46" s="15">
        <f t="shared" ca="1" si="1"/>
        <v>63.089999999999996</v>
      </c>
    </row>
    <row r="47" spans="1:4" x14ac:dyDescent="0.3">
      <c r="A47" s="26">
        <f ca="1">$B$5-0</f>
        <v>46295</v>
      </c>
      <c r="B47" s="15">
        <f ca="1">SUMIFS('Throw Log'!$Q$5:$Q$300,'Throw Log'!$B$5:$B$300,$B$4,'Throw Log'!$A$5:$A$300,A47)</f>
        <v>0</v>
      </c>
      <c r="C47" s="15">
        <f t="shared" ca="1" si="0"/>
        <v>70.188571428571422</v>
      </c>
      <c r="D47" s="15">
        <f t="shared" ca="1" si="1"/>
        <v>63.089999999999996</v>
      </c>
    </row>
  </sheetData>
  <mergeCells count="6">
    <mergeCell ref="A18:E18"/>
    <mergeCell ref="A1:E1"/>
    <mergeCell ref="A2:E2"/>
    <mergeCell ref="A7:E7"/>
    <mergeCell ref="B13:E13"/>
    <mergeCell ref="B16:E16"/>
  </mergeCells>
  <conditionalFormatting sqref="B12">
    <cfRule type="expression" dxfId="8" priority="2">
      <formula>B12="Sweet Spot"</formula>
    </cfRule>
    <cfRule type="expression" dxfId="7" priority="3">
      <formula>B12="Undertrained"</formula>
    </cfRule>
    <cfRule type="expression" dxfId="6" priority="4">
      <formula>B12="Caution"</formula>
    </cfRule>
    <cfRule type="expression" dxfId="5" priority="5">
      <formula>B12="High Risk"</formula>
    </cfRule>
  </conditionalFormatting>
  <conditionalFormatting sqref="B16">
    <cfRule type="expression" dxfId="4" priority="6">
      <formula>B16&lt;&gt;"OK"</formula>
    </cfRule>
  </conditionalFormatting>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0"/>
  <sheetViews>
    <sheetView showGridLines="0" tabSelected="1" zoomScaleNormal="100" workbookViewId="0">
      <pane ySplit="9" topLeftCell="A25" activePane="bottomLeft" state="frozen"/>
      <selection pane="bottomLeft" activeCell="E5" sqref="E5"/>
    </sheetView>
  </sheetViews>
  <sheetFormatPr defaultColWidth="8.6640625" defaultRowHeight="14.4" x14ac:dyDescent="0.3"/>
  <cols>
    <col min="1" max="1" width="20" customWidth="1"/>
    <col min="2" max="3" width="11" customWidth="1"/>
    <col min="4" max="4" width="20" customWidth="1"/>
    <col min="5" max="5" width="12" customWidth="1"/>
    <col min="6" max="11" width="11" customWidth="1"/>
    <col min="12" max="13" width="10" customWidth="1"/>
    <col min="14" max="14" width="15" customWidth="1"/>
    <col min="15" max="15" width="13" customWidth="1"/>
    <col min="16" max="16" width="18" customWidth="1"/>
  </cols>
  <sheetData>
    <row r="1" spans="1:16" ht="21" customHeight="1" x14ac:dyDescent="0.4">
      <c r="A1" s="29" t="s">
        <v>157</v>
      </c>
      <c r="B1" s="29"/>
      <c r="C1" s="29"/>
      <c r="D1" s="29"/>
      <c r="E1" s="29"/>
      <c r="F1" s="29"/>
      <c r="G1" s="29"/>
      <c r="H1" s="29"/>
      <c r="I1" s="29"/>
      <c r="J1" s="29"/>
      <c r="K1" s="29"/>
      <c r="L1" s="29"/>
      <c r="M1" s="29"/>
      <c r="N1" s="29"/>
      <c r="O1" s="29"/>
      <c r="P1" s="29"/>
    </row>
    <row r="2" spans="1:16" ht="43.5" customHeight="1" x14ac:dyDescent="0.3">
      <c r="A2" s="30" t="s">
        <v>158</v>
      </c>
      <c r="B2" s="30"/>
      <c r="C2" s="30"/>
      <c r="D2" s="30"/>
      <c r="E2" s="30"/>
      <c r="F2" s="30"/>
      <c r="G2" s="30"/>
      <c r="H2" s="30"/>
      <c r="I2" s="30"/>
      <c r="J2" s="30"/>
      <c r="K2" s="30"/>
      <c r="L2" s="30"/>
      <c r="M2" s="30"/>
      <c r="N2" s="30"/>
      <c r="O2" s="30"/>
      <c r="P2" s="30"/>
    </row>
    <row r="4" spans="1:16" ht="30" customHeight="1" x14ac:dyDescent="0.3">
      <c r="A4" s="20" t="s">
        <v>159</v>
      </c>
      <c r="B4" s="37" t="s">
        <v>104</v>
      </c>
      <c r="C4" s="37"/>
      <c r="D4" s="20" t="s">
        <v>160</v>
      </c>
      <c r="E4" s="17">
        <v>87.9</v>
      </c>
      <c r="F4" s="30" t="s">
        <v>161</v>
      </c>
      <c r="G4" s="30"/>
      <c r="H4" s="30"/>
      <c r="I4" s="30"/>
      <c r="J4" s="30"/>
      <c r="K4" s="30"/>
      <c r="L4" s="30"/>
      <c r="M4" s="30"/>
      <c r="N4" s="30"/>
      <c r="O4" s="30"/>
      <c r="P4" s="30"/>
    </row>
    <row r="6" spans="1:16" ht="15" customHeight="1" x14ac:dyDescent="0.3">
      <c r="A6" s="31" t="s">
        <v>162</v>
      </c>
      <c r="B6" s="31"/>
      <c r="C6" s="31"/>
      <c r="D6" s="31"/>
      <c r="E6" s="31"/>
      <c r="F6" s="31"/>
      <c r="G6" s="31"/>
      <c r="H6" s="31"/>
      <c r="I6" s="31"/>
      <c r="J6" s="31"/>
      <c r="K6" s="31"/>
      <c r="L6" s="31"/>
      <c r="M6" s="31"/>
      <c r="N6" s="31"/>
      <c r="O6" s="31"/>
      <c r="P6" s="31"/>
    </row>
    <row r="7" spans="1:16" ht="30" customHeight="1" x14ac:dyDescent="0.3">
      <c r="A7" s="30" t="s">
        <v>163</v>
      </c>
      <c r="B7" s="30"/>
      <c r="C7" s="30"/>
      <c r="D7" s="30"/>
      <c r="E7" s="30"/>
      <c r="F7" s="30"/>
      <c r="G7" s="30"/>
      <c r="H7" s="30"/>
      <c r="I7" s="30"/>
      <c r="J7" s="30"/>
      <c r="K7" s="30"/>
      <c r="L7" s="30"/>
      <c r="M7" s="30"/>
      <c r="N7" s="30"/>
      <c r="O7" s="30"/>
      <c r="P7" s="30"/>
    </row>
    <row r="9" spans="1:16" ht="39.75" customHeight="1" x14ac:dyDescent="0.3">
      <c r="A9" s="8" t="s">
        <v>164</v>
      </c>
      <c r="B9" s="8" t="s">
        <v>165</v>
      </c>
      <c r="C9" s="8" t="s">
        <v>166</v>
      </c>
      <c r="D9" s="8" t="s">
        <v>167</v>
      </c>
      <c r="E9" s="8" t="s">
        <v>168</v>
      </c>
      <c r="F9" s="8" t="s">
        <v>169</v>
      </c>
      <c r="G9" s="8" t="s">
        <v>170</v>
      </c>
      <c r="H9" s="8" t="s">
        <v>171</v>
      </c>
      <c r="I9" s="8" t="s">
        <v>172</v>
      </c>
      <c r="J9" s="8" t="s">
        <v>173</v>
      </c>
      <c r="K9" s="8" t="s">
        <v>174</v>
      </c>
      <c r="L9" s="8" t="s">
        <v>116</v>
      </c>
      <c r="M9" s="8" t="s">
        <v>117</v>
      </c>
      <c r="N9" s="8" t="s">
        <v>175</v>
      </c>
      <c r="O9" s="8" t="s">
        <v>31</v>
      </c>
      <c r="P9" s="8" t="s">
        <v>176</v>
      </c>
    </row>
    <row r="10" spans="1:16" x14ac:dyDescent="0.3">
      <c r="A10" s="9" t="s">
        <v>81</v>
      </c>
      <c r="B10" s="9">
        <v>1</v>
      </c>
      <c r="C10" s="9">
        <v>1</v>
      </c>
      <c r="D10" s="9" t="s">
        <v>50</v>
      </c>
      <c r="E10" s="9">
        <v>90</v>
      </c>
      <c r="F10" s="9">
        <v>45</v>
      </c>
      <c r="G10" s="9">
        <v>55</v>
      </c>
      <c r="H10" s="15">
        <f t="shared" ref="H10:H35" si="0">AVERAGE(F10,G10)</f>
        <v>50</v>
      </c>
      <c r="I10" s="9">
        <v>14</v>
      </c>
      <c r="J10" s="9">
        <v>18</v>
      </c>
      <c r="K10" s="15">
        <f t="shared" ref="K10:K35" si="1">AVERAGE(I10,J10)</f>
        <v>16</v>
      </c>
      <c r="L10" s="17">
        <f t="shared" ref="L10:L35" si="2">ROUND($E$4-J10,0)</f>
        <v>70</v>
      </c>
      <c r="M10" s="17">
        <f t="shared" ref="M10:M35" si="3">ROUND($E$4-I10,0)</f>
        <v>74</v>
      </c>
      <c r="N10" s="17">
        <f>IF(OR(D10="Bullpen",D10="Game"),IFERROR(INDEX(Reference!$B$61:$B$62,MATCH(D10,Reference!$A$61:$A$62,0)),""),IF(E10="","",VLOOKUP(E10,Reference!$A$6:$B$11,2,TRUE())))</f>
        <v>1.3</v>
      </c>
      <c r="O10" s="17">
        <f>VLOOKUP(MAX(K10,0),Reference!$A$17:$B$20,2,TRUE())</f>
        <v>0.6</v>
      </c>
      <c r="P10" s="15">
        <f t="shared" ref="P10:P35" si="4">H10*N10*O10</f>
        <v>39</v>
      </c>
    </row>
    <row r="11" spans="1:16" x14ac:dyDescent="0.3">
      <c r="A11" s="9" t="s">
        <v>81</v>
      </c>
      <c r="B11" s="9">
        <v>1</v>
      </c>
      <c r="C11" s="9">
        <v>2</v>
      </c>
      <c r="D11" s="9" t="s">
        <v>177</v>
      </c>
      <c r="E11" s="9">
        <v>60</v>
      </c>
      <c r="F11" s="9">
        <v>15</v>
      </c>
      <c r="G11" s="9">
        <v>25</v>
      </c>
      <c r="H11" s="15">
        <f t="shared" si="0"/>
        <v>20</v>
      </c>
      <c r="I11" s="9">
        <v>12</v>
      </c>
      <c r="J11" s="9">
        <v>14</v>
      </c>
      <c r="K11" s="15">
        <f t="shared" si="1"/>
        <v>13</v>
      </c>
      <c r="L11" s="17">
        <f t="shared" si="2"/>
        <v>74</v>
      </c>
      <c r="M11" s="17">
        <f t="shared" si="3"/>
        <v>76</v>
      </c>
      <c r="N11" s="17">
        <f>IF(OR(D11="Bullpen",D11="Game"),IFERROR(INDEX(Reference!$B$61:$B$62,MATCH(D11,Reference!$A$61:$A$62,0)),""),IF(E11="","",VLOOKUP(E11,Reference!$A$6:$B$11,2,TRUE())))</f>
        <v>1</v>
      </c>
      <c r="O11" s="17">
        <f>VLOOKUP(MAX(K11,0),Reference!$A$17:$B$20,2,TRUE())</f>
        <v>0.6</v>
      </c>
      <c r="P11" s="15">
        <f t="shared" si="4"/>
        <v>12</v>
      </c>
    </row>
    <row r="12" spans="1:16" x14ac:dyDescent="0.3">
      <c r="A12" s="9" t="s">
        <v>81</v>
      </c>
      <c r="B12" s="9">
        <v>2</v>
      </c>
      <c r="C12" s="9">
        <v>1</v>
      </c>
      <c r="D12" s="9" t="s">
        <v>50</v>
      </c>
      <c r="E12" s="9">
        <v>75</v>
      </c>
      <c r="F12" s="9">
        <v>35</v>
      </c>
      <c r="G12" s="9">
        <v>45</v>
      </c>
      <c r="H12" s="15">
        <f t="shared" si="0"/>
        <v>40</v>
      </c>
      <c r="I12" s="9">
        <v>15</v>
      </c>
      <c r="J12" s="9">
        <v>19</v>
      </c>
      <c r="K12" s="15">
        <f t="shared" si="1"/>
        <v>17</v>
      </c>
      <c r="L12" s="17">
        <f t="shared" si="2"/>
        <v>69</v>
      </c>
      <c r="M12" s="17">
        <f t="shared" si="3"/>
        <v>73</v>
      </c>
      <c r="N12" s="17">
        <f>IF(OR(D12="Bullpen",D12="Game"),IFERROR(INDEX(Reference!$B$61:$B$62,MATCH(D12,Reference!$A$61:$A$62,0)),""),IF(E12="","",VLOOKUP(E12,Reference!$A$6:$B$11,2,TRUE())))</f>
        <v>1.3</v>
      </c>
      <c r="O12" s="17">
        <f>VLOOKUP(MAX(K12,0),Reference!$A$17:$B$20,2,TRUE())</f>
        <v>0.6</v>
      </c>
      <c r="P12" s="15">
        <f t="shared" si="4"/>
        <v>31.2</v>
      </c>
    </row>
    <row r="13" spans="1:16" x14ac:dyDescent="0.3">
      <c r="A13" s="9" t="s">
        <v>81</v>
      </c>
      <c r="B13" s="9">
        <v>2</v>
      </c>
      <c r="C13" s="9">
        <v>2</v>
      </c>
      <c r="D13" s="9" t="s">
        <v>177</v>
      </c>
      <c r="E13" s="9">
        <v>60</v>
      </c>
      <c r="F13" s="9">
        <v>15</v>
      </c>
      <c r="G13" s="9">
        <v>20</v>
      </c>
      <c r="H13" s="15">
        <f t="shared" si="0"/>
        <v>17.5</v>
      </c>
      <c r="I13" s="9">
        <v>13</v>
      </c>
      <c r="J13" s="9">
        <v>15</v>
      </c>
      <c r="K13" s="15">
        <f t="shared" si="1"/>
        <v>14</v>
      </c>
      <c r="L13" s="17">
        <f t="shared" si="2"/>
        <v>73</v>
      </c>
      <c r="M13" s="17">
        <f t="shared" si="3"/>
        <v>75</v>
      </c>
      <c r="N13" s="17">
        <f>IF(OR(D13="Bullpen",D13="Game"),IFERROR(INDEX(Reference!$B$61:$B$62,MATCH(D13,Reference!$A$61:$A$62,0)),""),IF(E13="","",VLOOKUP(E13,Reference!$A$6:$B$11,2,TRUE())))</f>
        <v>1</v>
      </c>
      <c r="O13" s="17">
        <f>VLOOKUP(MAX(K13,0),Reference!$A$17:$B$20,2,TRUE())</f>
        <v>0.6</v>
      </c>
      <c r="P13" s="15">
        <f t="shared" si="4"/>
        <v>10.5</v>
      </c>
    </row>
    <row r="14" spans="1:16" x14ac:dyDescent="0.3">
      <c r="A14" s="9" t="s">
        <v>83</v>
      </c>
      <c r="B14" s="9">
        <v>1</v>
      </c>
      <c r="C14" s="9">
        <v>1</v>
      </c>
      <c r="D14" s="9" t="s">
        <v>50</v>
      </c>
      <c r="E14" s="9">
        <v>120</v>
      </c>
      <c r="F14" s="9">
        <v>40</v>
      </c>
      <c r="G14" s="9">
        <v>50</v>
      </c>
      <c r="H14" s="15">
        <f t="shared" si="0"/>
        <v>45</v>
      </c>
      <c r="I14" s="9">
        <v>7</v>
      </c>
      <c r="J14" s="9">
        <v>9</v>
      </c>
      <c r="K14" s="15">
        <f t="shared" si="1"/>
        <v>8</v>
      </c>
      <c r="L14" s="17">
        <f t="shared" si="2"/>
        <v>79</v>
      </c>
      <c r="M14" s="17">
        <f t="shared" si="3"/>
        <v>81</v>
      </c>
      <c r="N14" s="17">
        <f>IF(OR(D14="Bullpen",D14="Game"),IFERROR(INDEX(Reference!$B$61:$B$62,MATCH(D14,Reference!$A$61:$A$62,0)),""),IF(E14="","",VLOOKUP(E14,Reference!$A$6:$B$11,2,TRUE())))</f>
        <v>1.7</v>
      </c>
      <c r="O14" s="17">
        <f>VLOOKUP(MAX(K14,0),Reference!$A$17:$B$20,2,TRUE())</f>
        <v>1</v>
      </c>
      <c r="P14" s="15">
        <f t="shared" si="4"/>
        <v>76.5</v>
      </c>
    </row>
    <row r="15" spans="1:16" x14ac:dyDescent="0.3">
      <c r="A15" s="9" t="s">
        <v>83</v>
      </c>
      <c r="B15" s="9">
        <v>1</v>
      </c>
      <c r="C15" s="9">
        <v>2</v>
      </c>
      <c r="D15" s="9" t="s">
        <v>177</v>
      </c>
      <c r="E15" s="9">
        <v>60</v>
      </c>
      <c r="F15" s="9">
        <v>15</v>
      </c>
      <c r="G15" s="9">
        <v>20</v>
      </c>
      <c r="H15" s="15">
        <f t="shared" si="0"/>
        <v>17.5</v>
      </c>
      <c r="I15" s="9">
        <v>5</v>
      </c>
      <c r="J15" s="9">
        <v>7</v>
      </c>
      <c r="K15" s="15">
        <f t="shared" si="1"/>
        <v>6</v>
      </c>
      <c r="L15" s="17">
        <f t="shared" si="2"/>
        <v>81</v>
      </c>
      <c r="M15" s="17">
        <f t="shared" si="3"/>
        <v>83</v>
      </c>
      <c r="N15" s="17">
        <f>IF(OR(D15="Bullpen",D15="Game"),IFERROR(INDEX(Reference!$B$61:$B$62,MATCH(D15,Reference!$A$61:$A$62,0)),""),IF(E15="","",VLOOKUP(E15,Reference!$A$6:$B$11,2,TRUE())))</f>
        <v>1</v>
      </c>
      <c r="O15" s="17">
        <f>VLOOKUP(MAX(K15,0),Reference!$A$17:$B$20,2,TRUE())</f>
        <v>1.5</v>
      </c>
      <c r="P15" s="15">
        <f t="shared" si="4"/>
        <v>26.25</v>
      </c>
    </row>
    <row r="16" spans="1:16" x14ac:dyDescent="0.3">
      <c r="A16" s="9" t="s">
        <v>83</v>
      </c>
      <c r="B16" s="9">
        <v>2</v>
      </c>
      <c r="C16" s="9">
        <v>1</v>
      </c>
      <c r="D16" s="9" t="s">
        <v>51</v>
      </c>
      <c r="E16" s="9">
        <v>90</v>
      </c>
      <c r="F16" s="9">
        <v>30</v>
      </c>
      <c r="G16" s="9">
        <v>40</v>
      </c>
      <c r="H16" s="15">
        <f t="shared" si="0"/>
        <v>35</v>
      </c>
      <c r="I16" s="9">
        <v>7</v>
      </c>
      <c r="J16" s="9">
        <v>9</v>
      </c>
      <c r="K16" s="15">
        <f t="shared" si="1"/>
        <v>8</v>
      </c>
      <c r="L16" s="17">
        <f t="shared" si="2"/>
        <v>79</v>
      </c>
      <c r="M16" s="17">
        <f t="shared" si="3"/>
        <v>81</v>
      </c>
      <c r="N16" s="17">
        <f>IF(OR(D16="Bullpen",D16="Game"),IFERROR(INDEX(Reference!$B$61:$B$62,MATCH(D16,Reference!$A$61:$A$62,0)),""),IF(E16="","",VLOOKUP(E16,Reference!$A$6:$B$11,2,TRUE())))</f>
        <v>1.3</v>
      </c>
      <c r="O16" s="17">
        <f>VLOOKUP(MAX(K16,0),Reference!$A$17:$B$20,2,TRUE())</f>
        <v>1</v>
      </c>
      <c r="P16" s="15">
        <f t="shared" si="4"/>
        <v>45.5</v>
      </c>
    </row>
    <row r="17" spans="1:16" x14ac:dyDescent="0.3">
      <c r="A17" s="9" t="s">
        <v>83</v>
      </c>
      <c r="B17" s="9">
        <v>2</v>
      </c>
      <c r="C17" s="9">
        <v>2</v>
      </c>
      <c r="D17" s="9" t="s">
        <v>177</v>
      </c>
      <c r="E17" s="9">
        <v>60</v>
      </c>
      <c r="F17" s="9">
        <v>15</v>
      </c>
      <c r="G17" s="9">
        <v>20</v>
      </c>
      <c r="H17" s="15">
        <f t="shared" si="0"/>
        <v>17.5</v>
      </c>
      <c r="I17" s="9">
        <v>5</v>
      </c>
      <c r="J17" s="9">
        <v>7</v>
      </c>
      <c r="K17" s="15">
        <f t="shared" si="1"/>
        <v>6</v>
      </c>
      <c r="L17" s="17">
        <f t="shared" si="2"/>
        <v>81</v>
      </c>
      <c r="M17" s="17">
        <f t="shared" si="3"/>
        <v>83</v>
      </c>
      <c r="N17" s="17">
        <f>IF(OR(D17="Bullpen",D17="Game"),IFERROR(INDEX(Reference!$B$61:$B$62,MATCH(D17,Reference!$A$61:$A$62,0)),""),IF(E17="","",VLOOKUP(E17,Reference!$A$6:$B$11,2,TRUE())))</f>
        <v>1</v>
      </c>
      <c r="O17" s="17">
        <f>VLOOKUP(MAX(K17,0),Reference!$A$17:$B$20,2,TRUE())</f>
        <v>1.5</v>
      </c>
      <c r="P17" s="15">
        <f t="shared" si="4"/>
        <v>26.25</v>
      </c>
    </row>
    <row r="18" spans="1:16" x14ac:dyDescent="0.3">
      <c r="A18" s="9" t="s">
        <v>94</v>
      </c>
      <c r="B18" s="9">
        <v>1</v>
      </c>
      <c r="C18" s="9">
        <v>1</v>
      </c>
      <c r="D18" s="9" t="s">
        <v>50</v>
      </c>
      <c r="E18" s="9">
        <v>150</v>
      </c>
      <c r="F18" s="9">
        <v>30</v>
      </c>
      <c r="G18" s="9">
        <v>40</v>
      </c>
      <c r="H18" s="15">
        <f t="shared" si="0"/>
        <v>35</v>
      </c>
      <c r="I18" s="9">
        <v>7</v>
      </c>
      <c r="J18" s="9">
        <v>9</v>
      </c>
      <c r="K18" s="15">
        <f t="shared" si="1"/>
        <v>8</v>
      </c>
      <c r="L18" s="17">
        <f t="shared" si="2"/>
        <v>79</v>
      </c>
      <c r="M18" s="17">
        <f t="shared" si="3"/>
        <v>81</v>
      </c>
      <c r="N18" s="17">
        <f>IF(OR(D18="Bullpen",D18="Game"),IFERROR(INDEX(Reference!$B$61:$B$62,MATCH(D18,Reference!$A$61:$A$62,0)),""),IF(E18="","",VLOOKUP(E18,Reference!$A$6:$B$11,2,TRUE())))</f>
        <v>2.2000000000000002</v>
      </c>
      <c r="O18" s="17">
        <f>VLOOKUP(MAX(K18,0),Reference!$A$17:$B$20,2,TRUE())</f>
        <v>1</v>
      </c>
      <c r="P18" s="15">
        <f t="shared" si="4"/>
        <v>77</v>
      </c>
    </row>
    <row r="19" spans="1:16" x14ac:dyDescent="0.3">
      <c r="A19" s="9" t="s">
        <v>94</v>
      </c>
      <c r="B19" s="9">
        <v>1</v>
      </c>
      <c r="C19" s="9">
        <v>2</v>
      </c>
      <c r="D19" s="9" t="s">
        <v>51</v>
      </c>
      <c r="E19" s="9">
        <v>120</v>
      </c>
      <c r="F19" s="9">
        <v>20</v>
      </c>
      <c r="G19" s="9">
        <v>30</v>
      </c>
      <c r="H19" s="15">
        <f t="shared" si="0"/>
        <v>25</v>
      </c>
      <c r="I19" s="9">
        <v>0</v>
      </c>
      <c r="J19" s="9">
        <v>3</v>
      </c>
      <c r="K19" s="15">
        <f t="shared" si="1"/>
        <v>1.5</v>
      </c>
      <c r="L19" s="17">
        <f t="shared" si="2"/>
        <v>85</v>
      </c>
      <c r="M19" s="17">
        <f t="shared" si="3"/>
        <v>88</v>
      </c>
      <c r="N19" s="17">
        <f>IF(OR(D19="Bullpen",D19="Game"),IFERROR(INDEX(Reference!$B$61:$B$62,MATCH(D19,Reference!$A$61:$A$62,0)),""),IF(E19="","",VLOOKUP(E19,Reference!$A$6:$B$11,2,TRUE())))</f>
        <v>1.7</v>
      </c>
      <c r="O19" s="17">
        <f>VLOOKUP(MAX(K19,0),Reference!$A$17:$B$20,2,TRUE())</f>
        <v>2</v>
      </c>
      <c r="P19" s="15">
        <f t="shared" si="4"/>
        <v>85</v>
      </c>
    </row>
    <row r="20" spans="1:16" x14ac:dyDescent="0.3">
      <c r="A20" s="9" t="s">
        <v>94</v>
      </c>
      <c r="B20" s="9">
        <v>1</v>
      </c>
      <c r="C20" s="9">
        <v>3</v>
      </c>
      <c r="D20" s="9" t="s">
        <v>177</v>
      </c>
      <c r="E20" s="9">
        <v>60</v>
      </c>
      <c r="F20" s="9">
        <v>15</v>
      </c>
      <c r="G20" s="9">
        <v>20</v>
      </c>
      <c r="H20" s="15">
        <f t="shared" si="0"/>
        <v>17.5</v>
      </c>
      <c r="I20" s="9">
        <v>4</v>
      </c>
      <c r="J20" s="9">
        <v>6</v>
      </c>
      <c r="K20" s="15">
        <f t="shared" si="1"/>
        <v>5</v>
      </c>
      <c r="L20" s="17">
        <f t="shared" si="2"/>
        <v>82</v>
      </c>
      <c r="M20" s="17">
        <f t="shared" si="3"/>
        <v>84</v>
      </c>
      <c r="N20" s="17">
        <f>IF(OR(D20="Bullpen",D20="Game"),IFERROR(INDEX(Reference!$B$61:$B$62,MATCH(D20,Reference!$A$61:$A$62,0)),""),IF(E20="","",VLOOKUP(E20,Reference!$A$6:$B$11,2,TRUE())))</f>
        <v>1</v>
      </c>
      <c r="O20" s="17">
        <f>VLOOKUP(MAX(K20,0),Reference!$A$17:$B$20,2,TRUE())</f>
        <v>1.5</v>
      </c>
      <c r="P20" s="15">
        <f t="shared" si="4"/>
        <v>26.25</v>
      </c>
    </row>
    <row r="21" spans="1:16" x14ac:dyDescent="0.3">
      <c r="A21" s="9" t="s">
        <v>94</v>
      </c>
      <c r="B21" s="9">
        <v>2</v>
      </c>
      <c r="C21" s="9">
        <v>1</v>
      </c>
      <c r="D21" s="9" t="s">
        <v>50</v>
      </c>
      <c r="E21" s="9">
        <v>180</v>
      </c>
      <c r="F21" s="9">
        <v>25</v>
      </c>
      <c r="G21" s="9">
        <v>35</v>
      </c>
      <c r="H21" s="15">
        <f t="shared" si="0"/>
        <v>30</v>
      </c>
      <c r="I21" s="9">
        <v>4</v>
      </c>
      <c r="J21" s="9">
        <v>6</v>
      </c>
      <c r="K21" s="15">
        <f t="shared" si="1"/>
        <v>5</v>
      </c>
      <c r="L21" s="17">
        <f t="shared" si="2"/>
        <v>82</v>
      </c>
      <c r="M21" s="17">
        <f t="shared" si="3"/>
        <v>84</v>
      </c>
      <c r="N21" s="17">
        <f>IF(OR(D21="Bullpen",D21="Game"),IFERROR(INDEX(Reference!$B$61:$B$62,MATCH(D21,Reference!$A$61:$A$62,0)),""),IF(E21="","",VLOOKUP(E21,Reference!$A$6:$B$11,2,TRUE())))</f>
        <v>2.8</v>
      </c>
      <c r="O21" s="17">
        <f>VLOOKUP(MAX(K21,0),Reference!$A$17:$B$20,2,TRUE())</f>
        <v>1.5</v>
      </c>
      <c r="P21" s="15">
        <f t="shared" si="4"/>
        <v>126</v>
      </c>
    </row>
    <row r="22" spans="1:16" x14ac:dyDescent="0.3">
      <c r="A22" s="9" t="s">
        <v>94</v>
      </c>
      <c r="B22" s="9">
        <v>2</v>
      </c>
      <c r="C22" s="9">
        <v>2</v>
      </c>
      <c r="D22" s="9" t="s">
        <v>51</v>
      </c>
      <c r="E22" s="9">
        <v>90</v>
      </c>
      <c r="F22" s="9">
        <v>15</v>
      </c>
      <c r="G22" s="9">
        <v>20</v>
      </c>
      <c r="H22" s="15">
        <f t="shared" si="0"/>
        <v>17.5</v>
      </c>
      <c r="I22" s="9">
        <v>0</v>
      </c>
      <c r="J22" s="9">
        <v>3</v>
      </c>
      <c r="K22" s="15">
        <f t="shared" si="1"/>
        <v>1.5</v>
      </c>
      <c r="L22" s="17">
        <f t="shared" si="2"/>
        <v>85</v>
      </c>
      <c r="M22" s="17">
        <f t="shared" si="3"/>
        <v>88</v>
      </c>
      <c r="N22" s="17">
        <f>IF(OR(D22="Bullpen",D22="Game"),IFERROR(INDEX(Reference!$B$61:$B$62,MATCH(D22,Reference!$A$61:$A$62,0)),""),IF(E22="","",VLOOKUP(E22,Reference!$A$6:$B$11,2,TRUE())))</f>
        <v>1.3</v>
      </c>
      <c r="O22" s="17">
        <f>VLOOKUP(MAX(K22,0),Reference!$A$17:$B$20,2,TRUE())</f>
        <v>2</v>
      </c>
      <c r="P22" s="15">
        <f t="shared" si="4"/>
        <v>45.5</v>
      </c>
    </row>
    <row r="23" spans="1:16" x14ac:dyDescent="0.3">
      <c r="A23" s="9" t="s">
        <v>94</v>
      </c>
      <c r="B23" s="9">
        <v>2</v>
      </c>
      <c r="C23" s="9">
        <v>3</v>
      </c>
      <c r="D23" s="9" t="s">
        <v>177</v>
      </c>
      <c r="E23" s="9">
        <v>60</v>
      </c>
      <c r="F23" s="9">
        <v>15</v>
      </c>
      <c r="G23" s="9">
        <v>20</v>
      </c>
      <c r="H23" s="15">
        <f t="shared" si="0"/>
        <v>17.5</v>
      </c>
      <c r="I23" s="9">
        <v>4</v>
      </c>
      <c r="J23" s="9">
        <v>6</v>
      </c>
      <c r="K23" s="15">
        <f t="shared" si="1"/>
        <v>5</v>
      </c>
      <c r="L23" s="17">
        <f t="shared" si="2"/>
        <v>82</v>
      </c>
      <c r="M23" s="17">
        <f t="shared" si="3"/>
        <v>84</v>
      </c>
      <c r="N23" s="17">
        <f>IF(OR(D23="Bullpen",D23="Game"),IFERROR(INDEX(Reference!$B$61:$B$62,MATCH(D23,Reference!$A$61:$A$62,0)),""),IF(E23="","",VLOOKUP(E23,Reference!$A$6:$B$11,2,TRUE())))</f>
        <v>1</v>
      </c>
      <c r="O23" s="17">
        <f>VLOOKUP(MAX(K23,0),Reference!$A$17:$B$20,2,TRUE())</f>
        <v>1.5</v>
      </c>
      <c r="P23" s="15">
        <f t="shared" si="4"/>
        <v>26.25</v>
      </c>
    </row>
    <row r="24" spans="1:16" x14ac:dyDescent="0.3">
      <c r="A24" s="9" t="s">
        <v>85</v>
      </c>
      <c r="B24" s="9">
        <v>1</v>
      </c>
      <c r="C24" s="9">
        <v>1</v>
      </c>
      <c r="D24" s="9" t="s">
        <v>50</v>
      </c>
      <c r="E24" s="9">
        <v>90</v>
      </c>
      <c r="F24" s="9">
        <v>20</v>
      </c>
      <c r="G24" s="9">
        <v>30</v>
      </c>
      <c r="H24" s="15">
        <f t="shared" si="0"/>
        <v>25</v>
      </c>
      <c r="I24" s="9">
        <v>7</v>
      </c>
      <c r="J24" s="9">
        <v>9</v>
      </c>
      <c r="K24" s="15">
        <f t="shared" si="1"/>
        <v>8</v>
      </c>
      <c r="L24" s="17">
        <f t="shared" si="2"/>
        <v>79</v>
      </c>
      <c r="M24" s="17">
        <f t="shared" si="3"/>
        <v>81</v>
      </c>
      <c r="N24" s="17">
        <f>IF(OR(D24="Bullpen",D24="Game"),IFERROR(INDEX(Reference!$B$61:$B$62,MATCH(D24,Reference!$A$61:$A$62,0)),""),IF(E24="","",VLOOKUP(E24,Reference!$A$6:$B$11,2,TRUE())))</f>
        <v>1.3</v>
      </c>
      <c r="O24" s="17">
        <f>VLOOKUP(MAX(K24,0),Reference!$A$17:$B$20,2,TRUE())</f>
        <v>1</v>
      </c>
      <c r="P24" s="15">
        <f t="shared" si="4"/>
        <v>32.5</v>
      </c>
    </row>
    <row r="25" spans="1:16" x14ac:dyDescent="0.3">
      <c r="A25" s="9" t="s">
        <v>85</v>
      </c>
      <c r="B25" s="9">
        <v>1</v>
      </c>
      <c r="C25" s="9">
        <v>2</v>
      </c>
      <c r="D25" s="9" t="s">
        <v>52</v>
      </c>
      <c r="E25" s="16"/>
      <c r="F25" s="9">
        <v>25</v>
      </c>
      <c r="G25" s="9">
        <v>35</v>
      </c>
      <c r="H25" s="15">
        <f t="shared" si="0"/>
        <v>30</v>
      </c>
      <c r="I25" s="9">
        <v>0</v>
      </c>
      <c r="J25" s="9">
        <v>3</v>
      </c>
      <c r="K25" s="15">
        <f t="shared" si="1"/>
        <v>1.5</v>
      </c>
      <c r="L25" s="17">
        <f t="shared" si="2"/>
        <v>85</v>
      </c>
      <c r="M25" s="17">
        <f t="shared" si="3"/>
        <v>88</v>
      </c>
      <c r="N25" s="17">
        <f>IF(OR(D25="Bullpen",D25="Game"),IFERROR(INDEX(Reference!$B$61:$B$62,MATCH(D25,Reference!$A$61:$A$62,0)),""),IF(E25="","",VLOOKUP(E25,Reference!$A$6:$B$11,2,TRUE())))</f>
        <v>3</v>
      </c>
      <c r="O25" s="17">
        <f>VLOOKUP(MAX(K25,0),Reference!$A$17:$B$20,2,TRUE())</f>
        <v>2</v>
      </c>
      <c r="P25" s="15">
        <f t="shared" si="4"/>
        <v>180</v>
      </c>
    </row>
    <row r="26" spans="1:16" x14ac:dyDescent="0.3">
      <c r="A26" s="9" t="s">
        <v>85</v>
      </c>
      <c r="B26" s="9">
        <v>2</v>
      </c>
      <c r="C26" s="9">
        <v>1</v>
      </c>
      <c r="D26" s="9" t="s">
        <v>50</v>
      </c>
      <c r="E26" s="9">
        <v>120</v>
      </c>
      <c r="F26" s="9">
        <v>15</v>
      </c>
      <c r="G26" s="9">
        <v>20</v>
      </c>
      <c r="H26" s="15">
        <f t="shared" si="0"/>
        <v>17.5</v>
      </c>
      <c r="I26" s="9">
        <v>7</v>
      </c>
      <c r="J26" s="9">
        <v>9</v>
      </c>
      <c r="K26" s="15">
        <f t="shared" si="1"/>
        <v>8</v>
      </c>
      <c r="L26" s="17">
        <f t="shared" si="2"/>
        <v>79</v>
      </c>
      <c r="M26" s="17">
        <f t="shared" si="3"/>
        <v>81</v>
      </c>
      <c r="N26" s="17">
        <f>IF(OR(D26="Bullpen",D26="Game"),IFERROR(INDEX(Reference!$B$61:$B$62,MATCH(D26,Reference!$A$61:$A$62,0)),""),IF(E26="","",VLOOKUP(E26,Reference!$A$6:$B$11,2,TRUE())))</f>
        <v>1.7</v>
      </c>
      <c r="O26" s="17">
        <f>VLOOKUP(MAX(K26,0),Reference!$A$17:$B$20,2,TRUE())</f>
        <v>1</v>
      </c>
      <c r="P26" s="15">
        <f t="shared" si="4"/>
        <v>29.75</v>
      </c>
    </row>
    <row r="27" spans="1:16" x14ac:dyDescent="0.3">
      <c r="A27" s="9" t="s">
        <v>85</v>
      </c>
      <c r="B27" s="9">
        <v>2</v>
      </c>
      <c r="C27" s="9">
        <v>2</v>
      </c>
      <c r="D27" s="9" t="s">
        <v>52</v>
      </c>
      <c r="E27" s="16"/>
      <c r="F27" s="9">
        <v>20</v>
      </c>
      <c r="G27" s="9">
        <v>25</v>
      </c>
      <c r="H27" s="15">
        <f t="shared" si="0"/>
        <v>22.5</v>
      </c>
      <c r="I27" s="9">
        <v>0</v>
      </c>
      <c r="J27" s="9">
        <v>3</v>
      </c>
      <c r="K27" s="15">
        <f t="shared" si="1"/>
        <v>1.5</v>
      </c>
      <c r="L27" s="17">
        <f t="shared" si="2"/>
        <v>85</v>
      </c>
      <c r="M27" s="17">
        <f t="shared" si="3"/>
        <v>88</v>
      </c>
      <c r="N27" s="17">
        <f>IF(OR(D27="Bullpen",D27="Game"),IFERROR(INDEX(Reference!$B$61:$B$62,MATCH(D27,Reference!$A$61:$A$62,0)),""),IF(E27="","",VLOOKUP(E27,Reference!$A$6:$B$11,2,TRUE())))</f>
        <v>3</v>
      </c>
      <c r="O27" s="17">
        <f>VLOOKUP(MAX(K27,0),Reference!$A$17:$B$20,2,TRUE())</f>
        <v>2</v>
      </c>
      <c r="P27" s="15">
        <f t="shared" si="4"/>
        <v>135</v>
      </c>
    </row>
    <row r="28" spans="1:16" x14ac:dyDescent="0.3">
      <c r="A28" s="9" t="s">
        <v>54</v>
      </c>
      <c r="B28" s="9">
        <v>1</v>
      </c>
      <c r="C28" s="9">
        <v>1</v>
      </c>
      <c r="D28" s="9" t="s">
        <v>52</v>
      </c>
      <c r="E28" s="16"/>
      <c r="F28" s="9">
        <v>15</v>
      </c>
      <c r="G28" s="9">
        <v>20</v>
      </c>
      <c r="H28" s="15">
        <f t="shared" si="0"/>
        <v>17.5</v>
      </c>
      <c r="I28" s="9">
        <v>3</v>
      </c>
      <c r="J28" s="9">
        <v>6</v>
      </c>
      <c r="K28" s="15">
        <f t="shared" si="1"/>
        <v>4.5</v>
      </c>
      <c r="L28" s="17">
        <f t="shared" si="2"/>
        <v>82</v>
      </c>
      <c r="M28" s="17">
        <f t="shared" si="3"/>
        <v>85</v>
      </c>
      <c r="N28" s="17">
        <f>IF(OR(D28="Bullpen",D28="Game"),IFERROR(INDEX(Reference!$B$61:$B$62,MATCH(D28,Reference!$A$61:$A$62,0)),""),IF(E28="","",VLOOKUP(E28,Reference!$A$6:$B$11,2,TRUE())))</f>
        <v>3</v>
      </c>
      <c r="O28" s="17">
        <f>VLOOKUP(MAX(K28,0),Reference!$A$17:$B$20,2,TRUE())</f>
        <v>1.5</v>
      </c>
      <c r="P28" s="15">
        <f t="shared" si="4"/>
        <v>78.75</v>
      </c>
    </row>
    <row r="29" spans="1:16" x14ac:dyDescent="0.3">
      <c r="A29" s="9" t="s">
        <v>54</v>
      </c>
      <c r="B29" s="9">
        <v>1</v>
      </c>
      <c r="C29" s="9">
        <v>2</v>
      </c>
      <c r="D29" s="9" t="s">
        <v>54</v>
      </c>
      <c r="E29" s="16"/>
      <c r="F29" s="9">
        <v>20</v>
      </c>
      <c r="G29" s="9">
        <v>30</v>
      </c>
      <c r="H29" s="15">
        <f t="shared" si="0"/>
        <v>25</v>
      </c>
      <c r="I29" s="9">
        <v>0</v>
      </c>
      <c r="J29" s="9">
        <v>3</v>
      </c>
      <c r="K29" s="15">
        <f t="shared" si="1"/>
        <v>1.5</v>
      </c>
      <c r="L29" s="17">
        <f t="shared" si="2"/>
        <v>85</v>
      </c>
      <c r="M29" s="17">
        <f t="shared" si="3"/>
        <v>88</v>
      </c>
      <c r="N29" s="17">
        <f>IF(OR(D29="Bullpen",D29="Game"),IFERROR(INDEX(Reference!$B$61:$B$62,MATCH(D29,Reference!$A$61:$A$62,0)),""),IF(E29="","",VLOOKUP(E29,Reference!$A$6:$B$11,2,TRUE())))</f>
        <v>3.2</v>
      </c>
      <c r="O29" s="17">
        <f>VLOOKUP(MAX(K29,0),Reference!$A$17:$B$20,2,TRUE())</f>
        <v>2</v>
      </c>
      <c r="P29" s="15">
        <f t="shared" si="4"/>
        <v>160</v>
      </c>
    </row>
    <row r="30" spans="1:16" x14ac:dyDescent="0.3">
      <c r="A30" s="9" t="s">
        <v>54</v>
      </c>
      <c r="B30" s="9">
        <v>2</v>
      </c>
      <c r="C30" s="9">
        <v>1</v>
      </c>
      <c r="D30" s="9" t="s">
        <v>52</v>
      </c>
      <c r="E30" s="16"/>
      <c r="F30" s="9">
        <v>20</v>
      </c>
      <c r="G30" s="9">
        <v>25</v>
      </c>
      <c r="H30" s="15">
        <f t="shared" si="0"/>
        <v>22.5</v>
      </c>
      <c r="I30" s="9">
        <v>3</v>
      </c>
      <c r="J30" s="9">
        <v>6</v>
      </c>
      <c r="K30" s="15">
        <f t="shared" si="1"/>
        <v>4.5</v>
      </c>
      <c r="L30" s="17">
        <f t="shared" si="2"/>
        <v>82</v>
      </c>
      <c r="M30" s="17">
        <f t="shared" si="3"/>
        <v>85</v>
      </c>
      <c r="N30" s="17">
        <f>IF(OR(D30="Bullpen",D30="Game"),IFERROR(INDEX(Reference!$B$61:$B$62,MATCH(D30,Reference!$A$61:$A$62,0)),""),IF(E30="","",VLOOKUP(E30,Reference!$A$6:$B$11,2,TRUE())))</f>
        <v>3</v>
      </c>
      <c r="O30" s="17">
        <f>VLOOKUP(MAX(K30,0),Reference!$A$17:$B$20,2,TRUE())</f>
        <v>1.5</v>
      </c>
      <c r="P30" s="15">
        <f t="shared" si="4"/>
        <v>101.25</v>
      </c>
    </row>
    <row r="31" spans="1:16" x14ac:dyDescent="0.3">
      <c r="A31" s="9" t="s">
        <v>54</v>
      </c>
      <c r="B31" s="9">
        <v>2</v>
      </c>
      <c r="C31" s="9">
        <v>2</v>
      </c>
      <c r="D31" s="9" t="s">
        <v>54</v>
      </c>
      <c r="E31" s="16"/>
      <c r="F31" s="9">
        <v>60</v>
      </c>
      <c r="G31" s="9">
        <v>80</v>
      </c>
      <c r="H31" s="15">
        <f t="shared" si="0"/>
        <v>70</v>
      </c>
      <c r="I31" s="9">
        <v>0</v>
      </c>
      <c r="J31" s="9">
        <v>3</v>
      </c>
      <c r="K31" s="15">
        <f t="shared" si="1"/>
        <v>1.5</v>
      </c>
      <c r="L31" s="17">
        <f t="shared" si="2"/>
        <v>85</v>
      </c>
      <c r="M31" s="17">
        <f t="shared" si="3"/>
        <v>88</v>
      </c>
      <c r="N31" s="17">
        <f>IF(OR(D31="Bullpen",D31="Game"),IFERROR(INDEX(Reference!$B$61:$B$62,MATCH(D31,Reference!$A$61:$A$62,0)),""),IF(E31="","",VLOOKUP(E31,Reference!$A$6:$B$11,2,TRUE())))</f>
        <v>3.2</v>
      </c>
      <c r="O31" s="17">
        <f>VLOOKUP(MAX(K31,0),Reference!$A$17:$B$20,2,TRUE())</f>
        <v>2</v>
      </c>
      <c r="P31" s="15">
        <f t="shared" si="4"/>
        <v>448</v>
      </c>
    </row>
    <row r="32" spans="1:16" x14ac:dyDescent="0.3">
      <c r="A32" s="9" t="s">
        <v>178</v>
      </c>
      <c r="B32" s="9">
        <v>1</v>
      </c>
      <c r="C32" s="9">
        <v>1</v>
      </c>
      <c r="D32" s="9" t="s">
        <v>50</v>
      </c>
      <c r="E32" s="16">
        <v>90</v>
      </c>
      <c r="F32" s="9">
        <v>20</v>
      </c>
      <c r="G32" s="9">
        <v>30</v>
      </c>
      <c r="H32" s="15">
        <f t="shared" si="0"/>
        <v>25</v>
      </c>
      <c r="I32" s="9">
        <v>14</v>
      </c>
      <c r="J32" s="9">
        <v>18</v>
      </c>
      <c r="K32" s="15">
        <f t="shared" si="1"/>
        <v>16</v>
      </c>
      <c r="L32" s="17">
        <f t="shared" si="2"/>
        <v>70</v>
      </c>
      <c r="M32" s="17">
        <f t="shared" si="3"/>
        <v>74</v>
      </c>
      <c r="N32" s="17">
        <f>IF(OR(D32="Bullpen",D32="Game"),IFERROR(INDEX(Reference!$B$61:$B$62,MATCH(D32,Reference!$A$61:$A$62,0)),""),IF(E32="","",VLOOKUP(E32,Reference!$A$6:$B$11,2,TRUE())))</f>
        <v>1.3</v>
      </c>
      <c r="O32" s="17">
        <f>VLOOKUP(MAX(K32,0),Reference!$A$17:$B$20,2,TRUE())</f>
        <v>0.6</v>
      </c>
      <c r="P32" s="15">
        <f t="shared" si="4"/>
        <v>19.5</v>
      </c>
    </row>
    <row r="33" spans="1:16" x14ac:dyDescent="0.3">
      <c r="A33" s="9" t="s">
        <v>178</v>
      </c>
      <c r="B33" s="9">
        <v>1</v>
      </c>
      <c r="C33" s="9">
        <v>2</v>
      </c>
      <c r="D33" s="9" t="s">
        <v>52</v>
      </c>
      <c r="E33" s="16"/>
      <c r="F33" s="9">
        <v>20</v>
      </c>
      <c r="G33" s="9">
        <v>25</v>
      </c>
      <c r="H33" s="15">
        <f t="shared" si="0"/>
        <v>22.5</v>
      </c>
      <c r="I33" s="9">
        <v>7</v>
      </c>
      <c r="J33" s="9">
        <v>9</v>
      </c>
      <c r="K33" s="15">
        <f t="shared" si="1"/>
        <v>8</v>
      </c>
      <c r="L33" s="17">
        <f t="shared" si="2"/>
        <v>79</v>
      </c>
      <c r="M33" s="17">
        <f t="shared" si="3"/>
        <v>81</v>
      </c>
      <c r="N33" s="17">
        <f>IF(OR(D33="Bullpen",D33="Game"),IFERROR(INDEX(Reference!$B$61:$B$62,MATCH(D33,Reference!$A$61:$A$62,0)),""),IF(E33="","",VLOOKUP(E33,Reference!$A$6:$B$11,2,TRUE())))</f>
        <v>3</v>
      </c>
      <c r="O33" s="17">
        <f>VLOOKUP(MAX(K33,0),Reference!$A$17:$B$20,2,TRUE())</f>
        <v>1</v>
      </c>
      <c r="P33" s="15">
        <f t="shared" si="4"/>
        <v>67.5</v>
      </c>
    </row>
    <row r="34" spans="1:16" x14ac:dyDescent="0.3">
      <c r="A34" s="9" t="s">
        <v>178</v>
      </c>
      <c r="B34" s="9">
        <v>2</v>
      </c>
      <c r="C34" s="9">
        <v>1</v>
      </c>
      <c r="D34" s="9" t="s">
        <v>50</v>
      </c>
      <c r="E34" s="16">
        <v>75</v>
      </c>
      <c r="F34" s="9">
        <v>15</v>
      </c>
      <c r="G34" s="9">
        <v>25</v>
      </c>
      <c r="H34" s="15">
        <f t="shared" si="0"/>
        <v>20</v>
      </c>
      <c r="I34" s="9">
        <v>14</v>
      </c>
      <c r="J34" s="9">
        <v>18</v>
      </c>
      <c r="K34" s="15">
        <f t="shared" si="1"/>
        <v>16</v>
      </c>
      <c r="L34" s="17">
        <f t="shared" si="2"/>
        <v>70</v>
      </c>
      <c r="M34" s="17">
        <f t="shared" si="3"/>
        <v>74</v>
      </c>
      <c r="N34" s="17">
        <f>IF(OR(D34="Bullpen",D34="Game"),IFERROR(INDEX(Reference!$B$61:$B$62,MATCH(D34,Reference!$A$61:$A$62,0)),""),IF(E34="","",VLOOKUP(E34,Reference!$A$6:$B$11,2,TRUE())))</f>
        <v>1.3</v>
      </c>
      <c r="O34" s="17">
        <f>VLOOKUP(MAX(K34,0),Reference!$A$17:$B$20,2,TRUE())</f>
        <v>0.6</v>
      </c>
      <c r="P34" s="15">
        <f t="shared" si="4"/>
        <v>15.6</v>
      </c>
    </row>
    <row r="35" spans="1:16" x14ac:dyDescent="0.3">
      <c r="A35" s="9" t="s">
        <v>178</v>
      </c>
      <c r="B35" s="9">
        <v>2</v>
      </c>
      <c r="C35" s="9">
        <v>2</v>
      </c>
      <c r="D35" s="9" t="s">
        <v>52</v>
      </c>
      <c r="E35" s="16"/>
      <c r="F35" s="9">
        <v>25</v>
      </c>
      <c r="G35" s="9">
        <v>30</v>
      </c>
      <c r="H35" s="15">
        <f t="shared" si="0"/>
        <v>27.5</v>
      </c>
      <c r="I35" s="9">
        <v>9</v>
      </c>
      <c r="J35" s="9">
        <v>12</v>
      </c>
      <c r="K35" s="15">
        <f t="shared" si="1"/>
        <v>10.5</v>
      </c>
      <c r="L35" s="17">
        <f t="shared" si="2"/>
        <v>76</v>
      </c>
      <c r="M35" s="17">
        <f t="shared" si="3"/>
        <v>79</v>
      </c>
      <c r="N35" s="17">
        <f>IF(OR(D35="Bullpen",D35="Game"),IFERROR(INDEX(Reference!$B$61:$B$62,MATCH(D35,Reference!$A$61:$A$62,0)),""),IF(E35="","",VLOOKUP(E35,Reference!$A$6:$B$11,2,TRUE())))</f>
        <v>3</v>
      </c>
      <c r="O35" s="17">
        <f>VLOOKUP(MAX(K35,0),Reference!$A$17:$B$20,2,TRUE())</f>
        <v>0.6</v>
      </c>
      <c r="P35" s="15">
        <f t="shared" si="4"/>
        <v>49.5</v>
      </c>
    </row>
    <row r="36" spans="1:16" ht="30" customHeight="1" x14ac:dyDescent="0.3">
      <c r="A36" s="33" t="s">
        <v>179</v>
      </c>
      <c r="B36" s="33"/>
      <c r="C36" s="33"/>
      <c r="D36" s="33"/>
      <c r="E36" s="33"/>
      <c r="F36" s="33"/>
      <c r="G36" s="33"/>
      <c r="H36" s="33"/>
      <c r="I36" s="33"/>
      <c r="J36" s="33"/>
      <c r="K36" s="33"/>
      <c r="L36" s="33"/>
      <c r="M36" s="33"/>
      <c r="N36" s="33"/>
      <c r="O36" s="33"/>
      <c r="P36" s="33"/>
    </row>
    <row r="37" spans="1:16" ht="15" customHeight="1" x14ac:dyDescent="0.3">
      <c r="A37" s="31" t="s">
        <v>180</v>
      </c>
      <c r="B37" s="31"/>
      <c r="C37" s="31"/>
      <c r="D37" s="31"/>
      <c r="E37" s="31"/>
      <c r="F37" s="31"/>
      <c r="G37" s="31"/>
      <c r="H37" s="31"/>
      <c r="I37" s="31"/>
      <c r="J37" s="31"/>
      <c r="K37" s="31"/>
      <c r="L37" s="31"/>
      <c r="M37" s="31"/>
      <c r="N37" s="31"/>
      <c r="O37" s="31"/>
      <c r="P37" s="31"/>
    </row>
    <row r="38" spans="1:16" ht="39" customHeight="1" x14ac:dyDescent="0.3">
      <c r="A38" s="8" t="s">
        <v>164</v>
      </c>
      <c r="B38" s="8" t="s">
        <v>165</v>
      </c>
      <c r="C38" s="8" t="s">
        <v>181</v>
      </c>
      <c r="D38" s="8" t="s">
        <v>182</v>
      </c>
    </row>
    <row r="39" spans="1:16" ht="27.75" customHeight="1" x14ac:dyDescent="0.3">
      <c r="A39" s="10" t="s">
        <v>81</v>
      </c>
      <c r="B39" s="10">
        <v>1</v>
      </c>
      <c r="C39" s="15">
        <f>P10+P11</f>
        <v>51</v>
      </c>
      <c r="D39" s="36" t="str">
        <f>CONCATENATE(IF(E10="","Mound",E10&amp;" ft")&amp;" — "&amp;F10&amp;"-"&amp;G10&amp;" throws @ "&amp;L10&amp;"-"&amp;M10&amp;" mph","  +  ",IF(E11="","Mound",E11&amp;" ft")&amp;" — "&amp;F11&amp;"-"&amp;G11&amp;" throws @ "&amp;L11&amp;"-"&amp;M11&amp;" mph")</f>
        <v>90 ft — 45-55 throws @ 70-74 mph  +  60 ft — 15-25 throws @ 74-76 mph</v>
      </c>
      <c r="E39" s="36"/>
      <c r="F39" s="36"/>
      <c r="G39" s="36"/>
      <c r="H39" s="36"/>
      <c r="I39" s="36"/>
      <c r="J39" s="36"/>
      <c r="K39" s="36"/>
      <c r="L39" s="36"/>
      <c r="M39" s="36"/>
      <c r="N39" s="36"/>
      <c r="O39" s="36"/>
      <c r="P39" s="36"/>
    </row>
    <row r="40" spans="1:16" ht="27.75" customHeight="1" x14ac:dyDescent="0.3">
      <c r="A40" s="10" t="s">
        <v>81</v>
      </c>
      <c r="B40" s="10">
        <v>2</v>
      </c>
      <c r="C40" s="15">
        <f>P12+P13</f>
        <v>41.7</v>
      </c>
      <c r="D40" s="36" t="str">
        <f>CONCATENATE(IF(E12="","Mound",E12&amp;" ft")&amp;" — "&amp;F12&amp;"-"&amp;G12&amp;" throws @ "&amp;L12&amp;"-"&amp;M12&amp;" mph","  +  ",IF(E13="","Mound",E13&amp;" ft")&amp;" — "&amp;F13&amp;"-"&amp;G13&amp;" throws @ "&amp;L13&amp;"-"&amp;M13&amp;" mph")</f>
        <v>75 ft — 35-45 throws @ 69-73 mph  +  60 ft — 15-20 throws @ 73-75 mph</v>
      </c>
      <c r="E40" s="36"/>
      <c r="F40" s="36"/>
      <c r="G40" s="36"/>
      <c r="H40" s="36"/>
      <c r="I40" s="36"/>
      <c r="J40" s="36"/>
      <c r="K40" s="36"/>
      <c r="L40" s="36"/>
      <c r="M40" s="36"/>
      <c r="N40" s="36"/>
      <c r="O40" s="36"/>
      <c r="P40" s="36"/>
    </row>
    <row r="41" spans="1:16" ht="27.75" customHeight="1" x14ac:dyDescent="0.3">
      <c r="A41" s="10" t="s">
        <v>83</v>
      </c>
      <c r="B41" s="10">
        <v>1</v>
      </c>
      <c r="C41" s="15">
        <f>P14+P15</f>
        <v>102.75</v>
      </c>
      <c r="D41" s="36" t="str">
        <f>CONCATENATE(IF(E14="","Mound",E14&amp;" ft")&amp;" — "&amp;F14&amp;"-"&amp;G14&amp;" throws @ "&amp;L14&amp;"-"&amp;M14&amp;" mph","  +  ",IF(E15="","Mound",E15&amp;" ft")&amp;" — "&amp;F15&amp;"-"&amp;G15&amp;" throws @ "&amp;L15&amp;"-"&amp;M15&amp;" mph")</f>
        <v>120 ft — 40-50 throws @ 79-81 mph  +  60 ft — 15-20 throws @ 81-83 mph</v>
      </c>
      <c r="E41" s="36"/>
      <c r="F41" s="36"/>
      <c r="G41" s="36"/>
      <c r="H41" s="36"/>
      <c r="I41" s="36"/>
      <c r="J41" s="36"/>
      <c r="K41" s="36"/>
      <c r="L41" s="36"/>
      <c r="M41" s="36"/>
      <c r="N41" s="36"/>
      <c r="O41" s="36"/>
      <c r="P41" s="36"/>
    </row>
    <row r="42" spans="1:16" ht="27.75" customHeight="1" x14ac:dyDescent="0.3">
      <c r="A42" s="10" t="s">
        <v>83</v>
      </c>
      <c r="B42" s="10">
        <v>2</v>
      </c>
      <c r="C42" s="15">
        <f>P16+P17</f>
        <v>71.75</v>
      </c>
      <c r="D42" s="36" t="str">
        <f>CONCATENATE(IF(E16="","Mound",E16&amp;" ft")&amp;" — "&amp;F16&amp;"-"&amp;G16&amp;" throws @ "&amp;L16&amp;"-"&amp;M16&amp;" mph","  +  ",IF(E17="","Mound",E17&amp;" ft")&amp;" — "&amp;F17&amp;"-"&amp;G17&amp;" throws @ "&amp;L17&amp;"-"&amp;M17&amp;" mph")</f>
        <v>90 ft — 30-40 throws @ 79-81 mph  +  60 ft — 15-20 throws @ 81-83 mph</v>
      </c>
      <c r="E42" s="36"/>
      <c r="F42" s="36"/>
      <c r="G42" s="36"/>
      <c r="H42" s="36"/>
      <c r="I42" s="36"/>
      <c r="J42" s="36"/>
      <c r="K42" s="36"/>
      <c r="L42" s="36"/>
      <c r="M42" s="36"/>
      <c r="N42" s="36"/>
      <c r="O42" s="36"/>
      <c r="P42" s="36"/>
    </row>
    <row r="43" spans="1:16" ht="27.75" customHeight="1" x14ac:dyDescent="0.3">
      <c r="A43" s="10" t="s">
        <v>94</v>
      </c>
      <c r="B43" s="10">
        <v>1</v>
      </c>
      <c r="C43" s="15">
        <f>P18+P19+P20</f>
        <v>188.25</v>
      </c>
      <c r="D43" s="36" t="str">
        <f>CONCATENATE(IF(E18="","Mound",E18&amp;" ft")&amp;" — "&amp;F18&amp;"-"&amp;G18&amp;" throws @ "&amp;L18&amp;"-"&amp;M18&amp;" mph","  +  ",IF(E19="","Mound",E19&amp;" ft")&amp;" — "&amp;F19&amp;"-"&amp;G19&amp;" throws @ "&amp;L19&amp;"-"&amp;M19&amp;" mph","  +  ",IF(E20="","Mound",E20&amp;" ft")&amp;" — "&amp;F20&amp;"-"&amp;G20&amp;" throws @ "&amp;L20&amp;"-"&amp;M20&amp;" mph")</f>
        <v>150 ft — 30-40 throws @ 79-81 mph  +  120 ft — 20-30 throws @ 85-88 mph  +  60 ft — 15-20 throws @ 82-84 mph</v>
      </c>
      <c r="E43" s="36"/>
      <c r="F43" s="36"/>
      <c r="G43" s="36"/>
      <c r="H43" s="36"/>
      <c r="I43" s="36"/>
      <c r="J43" s="36"/>
      <c r="K43" s="36"/>
      <c r="L43" s="36"/>
      <c r="M43" s="36"/>
      <c r="N43" s="36"/>
      <c r="O43" s="36"/>
      <c r="P43" s="36"/>
    </row>
    <row r="44" spans="1:16" ht="27.75" customHeight="1" x14ac:dyDescent="0.3">
      <c r="A44" s="10" t="s">
        <v>94</v>
      </c>
      <c r="B44" s="10">
        <v>2</v>
      </c>
      <c r="C44" s="15">
        <f>P21+P22+P23</f>
        <v>197.75</v>
      </c>
      <c r="D44" s="36" t="str">
        <f>CONCATENATE(IF(E21="","Mound",E21&amp;" ft")&amp;" — "&amp;F21&amp;"-"&amp;G21&amp;" throws @ "&amp;L21&amp;"-"&amp;M21&amp;" mph","  +  ",IF(E22="","Mound",E22&amp;" ft")&amp;" — "&amp;F22&amp;"-"&amp;G22&amp;" throws @ "&amp;L22&amp;"-"&amp;M22&amp;" mph","  +  ",IF(E23="","Mound",E23&amp;" ft")&amp;" — "&amp;F23&amp;"-"&amp;G23&amp;" throws @ "&amp;L23&amp;"-"&amp;M23&amp;" mph")</f>
        <v>180 ft — 25-35 throws @ 82-84 mph  +  90 ft — 15-20 throws @ 85-88 mph  +  60 ft — 15-20 throws @ 82-84 mph</v>
      </c>
      <c r="E44" s="36"/>
      <c r="F44" s="36"/>
      <c r="G44" s="36"/>
      <c r="H44" s="36"/>
      <c r="I44" s="36"/>
      <c r="J44" s="36"/>
      <c r="K44" s="36"/>
      <c r="L44" s="36"/>
      <c r="M44" s="36"/>
      <c r="N44" s="36"/>
      <c r="O44" s="36"/>
      <c r="P44" s="36"/>
    </row>
    <row r="45" spans="1:16" ht="27.75" customHeight="1" x14ac:dyDescent="0.3">
      <c r="A45" s="10" t="s">
        <v>85</v>
      </c>
      <c r="B45" s="10">
        <v>1</v>
      </c>
      <c r="C45" s="15">
        <f>P24+P25</f>
        <v>212.5</v>
      </c>
      <c r="D45" s="36" t="str">
        <f>CONCATENATE(IF(E24="","Mound",E24&amp;" ft")&amp;" — "&amp;F24&amp;"-"&amp;G24&amp;" throws @ "&amp;L24&amp;"-"&amp;M24&amp;" mph","  +  ",IF(E25="","Mound",E25&amp;" ft")&amp;" — "&amp;F25&amp;"-"&amp;G25&amp;" throws @ "&amp;L25&amp;"-"&amp;M25&amp;" mph")</f>
        <v>90 ft — 20-30 throws @ 79-81 mph  +  Mound — 25-35 throws @ 85-88 mph</v>
      </c>
      <c r="E45" s="36"/>
      <c r="F45" s="36"/>
      <c r="G45" s="36"/>
      <c r="H45" s="36"/>
      <c r="I45" s="36"/>
      <c r="J45" s="36"/>
      <c r="K45" s="36"/>
      <c r="L45" s="36"/>
      <c r="M45" s="36"/>
      <c r="N45" s="36"/>
      <c r="O45" s="36"/>
      <c r="P45" s="36"/>
    </row>
    <row r="46" spans="1:16" ht="27.75" customHeight="1" x14ac:dyDescent="0.3">
      <c r="A46" s="10" t="s">
        <v>85</v>
      </c>
      <c r="B46" s="10">
        <v>2</v>
      </c>
      <c r="C46" s="15">
        <f>P26+P27</f>
        <v>164.75</v>
      </c>
      <c r="D46" s="36" t="str">
        <f>CONCATENATE(IF(E26="","Mound",E26&amp;" ft")&amp;" — "&amp;F26&amp;"-"&amp;G26&amp;" throws @ "&amp;L26&amp;"-"&amp;M26&amp;" mph","  +  ",IF(E27="","Mound",E27&amp;" ft")&amp;" — "&amp;F27&amp;"-"&amp;G27&amp;" throws @ "&amp;L27&amp;"-"&amp;M27&amp;" mph")</f>
        <v>120 ft — 15-20 throws @ 79-81 mph  +  Mound — 20-25 throws @ 85-88 mph</v>
      </c>
      <c r="E46" s="36"/>
      <c r="F46" s="36"/>
      <c r="G46" s="36"/>
      <c r="H46" s="36"/>
      <c r="I46" s="36"/>
      <c r="J46" s="36"/>
      <c r="K46" s="36"/>
      <c r="L46" s="36"/>
      <c r="M46" s="36"/>
      <c r="N46" s="36"/>
      <c r="O46" s="36"/>
      <c r="P46" s="36"/>
    </row>
    <row r="47" spans="1:16" ht="27.75" customHeight="1" x14ac:dyDescent="0.3">
      <c r="A47" s="10" t="s">
        <v>54</v>
      </c>
      <c r="B47" s="10">
        <v>1</v>
      </c>
      <c r="C47" s="15">
        <f>P28+P29</f>
        <v>238.75</v>
      </c>
      <c r="D47" s="36" t="str">
        <f>CONCATENATE(IF(E28="","Mound",E28&amp;" ft")&amp;" — "&amp;F28&amp;"-"&amp;G28&amp;" throws @ "&amp;L28&amp;"-"&amp;M28&amp;" mph","  +  ",IF(E29="","Mound",E29&amp;" ft")&amp;" — "&amp;F29&amp;"-"&amp;G29&amp;" throws @ "&amp;L29&amp;"-"&amp;M29&amp;" mph")</f>
        <v>Mound — 15-20 throws @ 82-85 mph  +  Mound — 20-30 throws @ 85-88 mph</v>
      </c>
      <c r="E47" s="36"/>
      <c r="F47" s="36"/>
      <c r="G47" s="36"/>
      <c r="H47" s="36"/>
      <c r="I47" s="36"/>
      <c r="J47" s="36"/>
      <c r="K47" s="36"/>
      <c r="L47" s="36"/>
      <c r="M47" s="36"/>
      <c r="N47" s="36"/>
      <c r="O47" s="36"/>
      <c r="P47" s="36"/>
    </row>
    <row r="48" spans="1:16" ht="27.75" customHeight="1" x14ac:dyDescent="0.3">
      <c r="A48" s="10" t="s">
        <v>54</v>
      </c>
      <c r="B48" s="10">
        <v>2</v>
      </c>
      <c r="C48" s="15">
        <f>P30+P31</f>
        <v>549.25</v>
      </c>
      <c r="D48" s="36" t="str">
        <f>CONCATENATE(IF(E30="","Mound",E30&amp;" ft")&amp;" — "&amp;F30&amp;"-"&amp;G30&amp;" throws @ "&amp;L30&amp;"-"&amp;M30&amp;" mph","  +  ",IF(E31="","Mound",E31&amp;" ft")&amp;" — "&amp;F31&amp;"-"&amp;G31&amp;" throws @ "&amp;L31&amp;"-"&amp;M31&amp;" mph")</f>
        <v>Mound — 20-25 throws @ 82-85 mph  +  Mound — 60-80 throws @ 85-88 mph</v>
      </c>
      <c r="E48" s="36"/>
      <c r="F48" s="36"/>
      <c r="G48" s="36"/>
      <c r="H48" s="36"/>
      <c r="I48" s="36"/>
      <c r="J48" s="36"/>
      <c r="K48" s="36"/>
      <c r="L48" s="36"/>
      <c r="M48" s="36"/>
      <c r="N48" s="36"/>
      <c r="O48" s="36"/>
      <c r="P48" s="36"/>
    </row>
    <row r="49" spans="1:16" ht="27.75" customHeight="1" x14ac:dyDescent="0.3">
      <c r="A49" s="10" t="s">
        <v>178</v>
      </c>
      <c r="B49" s="10">
        <v>1</v>
      </c>
      <c r="C49" s="15">
        <f>P32+P33</f>
        <v>87</v>
      </c>
      <c r="D49" s="36" t="str">
        <f>CONCATENATE(IF(E32="","Mound",E32&amp;" ft")&amp;" — "&amp;F32&amp;"-"&amp;G32&amp;" throws @ "&amp;L32&amp;"-"&amp;M32&amp;" mph","  +  ",IF(E33="","Mound",E33&amp;" ft")&amp;" — "&amp;F33&amp;"-"&amp;G33&amp;" throws @ "&amp;L33&amp;"-"&amp;M33&amp;" mph")</f>
        <v>90 ft — 20-30 throws @ 70-74 mph  +  Mound — 20-25 throws @ 79-81 mph</v>
      </c>
      <c r="E49" s="36"/>
      <c r="F49" s="36"/>
      <c r="G49" s="36"/>
      <c r="H49" s="36"/>
      <c r="I49" s="36"/>
      <c r="J49" s="36"/>
      <c r="K49" s="36"/>
      <c r="L49" s="36"/>
      <c r="M49" s="36"/>
      <c r="N49" s="36"/>
      <c r="O49" s="36"/>
      <c r="P49" s="36"/>
    </row>
    <row r="50" spans="1:16" ht="27.75" customHeight="1" x14ac:dyDescent="0.3">
      <c r="A50" s="10" t="s">
        <v>178</v>
      </c>
      <c r="B50" s="10">
        <v>2</v>
      </c>
      <c r="C50" s="15">
        <f>P34+P35</f>
        <v>65.099999999999994</v>
      </c>
      <c r="D50" s="36" t="str">
        <f>CONCATENATE(IF(E34="","Mound",E34&amp;" ft")&amp;" — "&amp;F34&amp;"-"&amp;G34&amp;" throws @ "&amp;L34&amp;"-"&amp;M34&amp;" mph","  +  ",IF(E35="","Mound",E35&amp;" ft")&amp;" — "&amp;F35&amp;"-"&amp;G35&amp;" throws @ "&amp;L35&amp;"-"&amp;M35&amp;" mph")</f>
        <v>75 ft — 15-25 throws @ 70-74 mph  +  Mound — 25-30 throws @ 76-79 mph</v>
      </c>
      <c r="E50" s="36"/>
      <c r="F50" s="36"/>
      <c r="G50" s="36"/>
      <c r="H50" s="36"/>
      <c r="I50" s="36"/>
      <c r="J50" s="36"/>
      <c r="K50" s="36"/>
      <c r="L50" s="36"/>
      <c r="M50" s="36"/>
      <c r="N50" s="36"/>
      <c r="O50" s="36"/>
      <c r="P50" s="36"/>
    </row>
    <row r="52" spans="1:16" ht="15" customHeight="1" x14ac:dyDescent="0.3">
      <c r="A52" s="31" t="s">
        <v>183</v>
      </c>
      <c r="B52" s="31"/>
      <c r="C52" s="31"/>
      <c r="D52" s="31"/>
      <c r="E52" s="31"/>
      <c r="F52" s="31"/>
      <c r="G52" s="31"/>
      <c r="H52" s="31"/>
      <c r="I52" s="31"/>
      <c r="J52" s="31"/>
      <c r="K52" s="31"/>
      <c r="L52" s="31"/>
      <c r="M52" s="31"/>
      <c r="N52" s="31"/>
      <c r="O52" s="31"/>
      <c r="P52" s="31"/>
    </row>
    <row r="53" spans="1:16" ht="30" customHeight="1" x14ac:dyDescent="0.3">
      <c r="A53" s="30" t="s">
        <v>184</v>
      </c>
      <c r="B53" s="30"/>
      <c r="C53" s="30"/>
      <c r="D53" s="30"/>
      <c r="E53" s="30"/>
      <c r="F53" s="30"/>
      <c r="G53" s="30"/>
      <c r="H53" s="30"/>
      <c r="I53" s="30"/>
      <c r="J53" s="30"/>
      <c r="K53" s="30"/>
      <c r="L53" s="30"/>
      <c r="M53" s="30"/>
      <c r="N53" s="30"/>
      <c r="O53" s="30"/>
      <c r="P53" s="30"/>
    </row>
    <row r="54" spans="1:16" ht="52.5" customHeight="1" x14ac:dyDescent="0.3">
      <c r="A54" s="8" t="s">
        <v>92</v>
      </c>
      <c r="B54" s="8" t="s">
        <v>185</v>
      </c>
      <c r="C54" s="8" t="s">
        <v>186</v>
      </c>
    </row>
    <row r="55" spans="1:16" ht="25.5" customHeight="1" x14ac:dyDescent="0.3">
      <c r="A55" s="10" t="s">
        <v>81</v>
      </c>
      <c r="B55" s="15">
        <f>AVERAGE(C39,C40)</f>
        <v>46.35</v>
      </c>
      <c r="C55" s="36" t="str">
        <f>D39</f>
        <v>90 ft — 45-55 throws @ 70-74 mph  +  60 ft — 15-25 throws @ 74-76 mph</v>
      </c>
      <c r="D55" s="36"/>
      <c r="E55" s="36"/>
      <c r="F55" s="36"/>
      <c r="G55" s="36"/>
      <c r="H55" s="36"/>
      <c r="I55" s="36"/>
      <c r="J55" s="36"/>
      <c r="K55" s="36"/>
      <c r="L55" s="36"/>
      <c r="M55" s="36"/>
      <c r="N55" s="36"/>
      <c r="O55" s="36"/>
      <c r="P55" s="36"/>
    </row>
    <row r="56" spans="1:16" ht="25.5" customHeight="1" x14ac:dyDescent="0.3">
      <c r="A56" s="10" t="s">
        <v>83</v>
      </c>
      <c r="B56" s="15">
        <f>AVERAGE(C41,C42)</f>
        <v>87.25</v>
      </c>
      <c r="C56" s="36" t="str">
        <f>D41</f>
        <v>120 ft — 40-50 throws @ 79-81 mph  +  60 ft — 15-20 throws @ 81-83 mph</v>
      </c>
      <c r="D56" s="36"/>
      <c r="E56" s="36"/>
      <c r="F56" s="36"/>
      <c r="G56" s="36"/>
      <c r="H56" s="36"/>
      <c r="I56" s="36"/>
      <c r="J56" s="36"/>
      <c r="K56" s="36"/>
      <c r="L56" s="36"/>
      <c r="M56" s="36"/>
      <c r="N56" s="36"/>
      <c r="O56" s="36"/>
      <c r="P56" s="36"/>
    </row>
    <row r="57" spans="1:16" ht="25.5" customHeight="1" x14ac:dyDescent="0.3">
      <c r="A57" s="10" t="s">
        <v>94</v>
      </c>
      <c r="B57" s="15">
        <f>AVERAGE(C43,C44)</f>
        <v>193</v>
      </c>
      <c r="C57" s="36" t="str">
        <f>D43</f>
        <v>150 ft — 30-40 throws @ 79-81 mph  +  120 ft — 20-30 throws @ 85-88 mph  +  60 ft — 15-20 throws @ 82-84 mph</v>
      </c>
      <c r="D57" s="36"/>
      <c r="E57" s="36"/>
      <c r="F57" s="36"/>
      <c r="G57" s="36"/>
      <c r="H57" s="36"/>
      <c r="I57" s="36"/>
      <c r="J57" s="36"/>
      <c r="K57" s="36"/>
      <c r="L57" s="36"/>
      <c r="M57" s="36"/>
      <c r="N57" s="36"/>
      <c r="O57" s="36"/>
      <c r="P57" s="36"/>
    </row>
    <row r="58" spans="1:16" ht="25.5" customHeight="1" x14ac:dyDescent="0.3">
      <c r="A58" s="10" t="s">
        <v>85</v>
      </c>
      <c r="B58" s="15">
        <f>AVERAGE(C45,C46)</f>
        <v>188.625</v>
      </c>
      <c r="C58" s="36" t="str">
        <f>D45</f>
        <v>90 ft — 20-30 throws @ 79-81 mph  +  Mound — 25-35 throws @ 85-88 mph</v>
      </c>
      <c r="D58" s="36"/>
      <c r="E58" s="36"/>
      <c r="F58" s="36"/>
      <c r="G58" s="36"/>
      <c r="H58" s="36"/>
      <c r="I58" s="36"/>
      <c r="J58" s="36"/>
      <c r="K58" s="36"/>
      <c r="L58" s="36"/>
      <c r="M58" s="36"/>
      <c r="N58" s="36"/>
      <c r="O58" s="36"/>
      <c r="P58" s="36"/>
    </row>
    <row r="59" spans="1:16" ht="25.5" customHeight="1" x14ac:dyDescent="0.3">
      <c r="A59" s="10" t="s">
        <v>54</v>
      </c>
      <c r="B59" s="15">
        <f>AVERAGE(C47,C48)</f>
        <v>394</v>
      </c>
      <c r="C59" s="36" t="str">
        <f>D47</f>
        <v>Mound — 15-20 throws @ 82-85 mph  +  Mound — 20-30 throws @ 85-88 mph</v>
      </c>
      <c r="D59" s="36"/>
      <c r="E59" s="36"/>
      <c r="F59" s="36"/>
      <c r="G59" s="36"/>
      <c r="H59" s="36"/>
      <c r="I59" s="36"/>
      <c r="J59" s="36"/>
      <c r="K59" s="36"/>
      <c r="L59" s="36"/>
      <c r="M59" s="36"/>
      <c r="N59" s="36"/>
      <c r="O59" s="36"/>
      <c r="P59" s="36"/>
    </row>
    <row r="60" spans="1:16" ht="25.5" customHeight="1" x14ac:dyDescent="0.3">
      <c r="A60" s="10" t="s">
        <v>178</v>
      </c>
      <c r="B60" s="15">
        <f>AVERAGE(C49,C50)</f>
        <v>76.05</v>
      </c>
      <c r="C60" s="36" t="str">
        <f>D49</f>
        <v>90 ft — 20-30 throws @ 70-74 mph  +  Mound — 20-25 throws @ 79-81 mph</v>
      </c>
      <c r="D60" s="36"/>
      <c r="E60" s="36"/>
      <c r="F60" s="36"/>
      <c r="G60" s="36"/>
      <c r="H60" s="36"/>
      <c r="I60" s="36"/>
      <c r="J60" s="36"/>
      <c r="K60" s="36"/>
      <c r="L60" s="36"/>
      <c r="M60" s="36"/>
      <c r="N60" s="36"/>
      <c r="O60" s="36"/>
      <c r="P60" s="36"/>
    </row>
  </sheetData>
  <mergeCells count="28">
    <mergeCell ref="A1:P1"/>
    <mergeCell ref="A2:P2"/>
    <mergeCell ref="B4:C4"/>
    <mergeCell ref="F4:P4"/>
    <mergeCell ref="A6:P6"/>
    <mergeCell ref="A7:P7"/>
    <mergeCell ref="A36:P36"/>
    <mergeCell ref="A37:P37"/>
    <mergeCell ref="D39:P39"/>
    <mergeCell ref="D40:P40"/>
    <mergeCell ref="D41:P41"/>
    <mergeCell ref="D42:P42"/>
    <mergeCell ref="D43:P43"/>
    <mergeCell ref="D44:P44"/>
    <mergeCell ref="D45:P45"/>
    <mergeCell ref="D46:P46"/>
    <mergeCell ref="D47:P47"/>
    <mergeCell ref="D48:P48"/>
    <mergeCell ref="D49:P49"/>
    <mergeCell ref="D50:P50"/>
    <mergeCell ref="C58:P58"/>
    <mergeCell ref="C59:P59"/>
    <mergeCell ref="C60:P60"/>
    <mergeCell ref="A52:P52"/>
    <mergeCell ref="A53:P53"/>
    <mergeCell ref="C55:P55"/>
    <mergeCell ref="C56:P56"/>
    <mergeCell ref="C57:P5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8"/>
  <sheetViews>
    <sheetView showGridLines="0" topLeftCell="A16" zoomScale="80" zoomScaleNormal="80" workbookViewId="0">
      <selection activeCell="T31" sqref="T31"/>
    </sheetView>
  </sheetViews>
  <sheetFormatPr defaultColWidth="8.6640625" defaultRowHeight="14.4" x14ac:dyDescent="0.3"/>
  <cols>
    <col min="1" max="1" width="32.44140625" customWidth="1"/>
    <col min="2" max="2" width="10" customWidth="1"/>
    <col min="3" max="3" width="14.6640625" customWidth="1"/>
    <col min="4" max="4" width="16" customWidth="1"/>
    <col min="5" max="5" width="10" customWidth="1"/>
    <col min="6" max="6" width="12" customWidth="1"/>
    <col min="7" max="7" width="10" customWidth="1"/>
    <col min="8" max="8" width="16" customWidth="1"/>
    <col min="9" max="10" width="14" customWidth="1"/>
    <col min="11" max="14" width="11" hidden="1" customWidth="1"/>
    <col min="15" max="15" width="13" customWidth="1"/>
    <col min="16" max="16" width="11" customWidth="1"/>
    <col min="17" max="17" width="10" customWidth="1"/>
    <col min="18" max="18" width="16" customWidth="1"/>
    <col min="19" max="19" width="30" customWidth="1"/>
    <col min="20" max="20" width="16" customWidth="1"/>
  </cols>
  <sheetData>
    <row r="1" spans="1:20" ht="21" customHeight="1" x14ac:dyDescent="0.4">
      <c r="A1" s="29" t="s">
        <v>187</v>
      </c>
      <c r="B1" s="29"/>
      <c r="C1" s="29"/>
      <c r="D1" s="29"/>
      <c r="E1" s="29"/>
      <c r="F1" s="29"/>
      <c r="G1" s="29"/>
      <c r="H1" s="29"/>
      <c r="I1" s="29"/>
      <c r="J1" s="29"/>
      <c r="K1" s="29"/>
      <c r="L1" s="29"/>
      <c r="M1" s="29"/>
      <c r="N1" s="29"/>
      <c r="O1" s="29"/>
      <c r="P1" s="29"/>
      <c r="Q1" s="29"/>
      <c r="R1" s="29"/>
      <c r="S1" s="29"/>
      <c r="T1" s="29"/>
    </row>
    <row r="2" spans="1:20" ht="96" customHeight="1" x14ac:dyDescent="0.3">
      <c r="A2" s="30" t="s">
        <v>188</v>
      </c>
      <c r="B2" s="30"/>
      <c r="C2" s="30"/>
      <c r="D2" s="30"/>
      <c r="E2" s="30"/>
      <c r="F2" s="30"/>
      <c r="G2" s="30"/>
      <c r="H2" s="30"/>
      <c r="I2" s="30"/>
      <c r="J2" s="30"/>
      <c r="K2" s="30"/>
      <c r="L2" s="30"/>
      <c r="M2" s="30"/>
      <c r="N2" s="30"/>
      <c r="O2" s="30"/>
      <c r="P2" s="30"/>
      <c r="Q2" s="30"/>
      <c r="R2" s="30"/>
      <c r="S2" s="30"/>
      <c r="T2" s="30"/>
    </row>
    <row r="4" spans="1:20" x14ac:dyDescent="0.3">
      <c r="A4" s="20" t="s">
        <v>189</v>
      </c>
      <c r="B4" s="2" t="s">
        <v>104</v>
      </c>
    </row>
    <row r="5" spans="1:20" x14ac:dyDescent="0.3">
      <c r="A5" s="20" t="s">
        <v>190</v>
      </c>
      <c r="B5" s="2" t="s">
        <v>54</v>
      </c>
    </row>
    <row r="6" spans="1:20" x14ac:dyDescent="0.3">
      <c r="A6" s="20" t="s">
        <v>191</v>
      </c>
      <c r="B6" s="21">
        <v>46304</v>
      </c>
    </row>
    <row r="7" spans="1:20" x14ac:dyDescent="0.3">
      <c r="A7" s="20" t="s">
        <v>192</v>
      </c>
      <c r="B7" s="21">
        <f ca="1">TODAY()</f>
        <v>46295</v>
      </c>
    </row>
    <row r="8" spans="1:20" x14ac:dyDescent="0.3">
      <c r="A8" s="20" t="s">
        <v>193</v>
      </c>
      <c r="B8" s="17">
        <f>IFERROR(INDEX(Roster!$D$5:$D$40,MATCH($B$4,Roster!$A$5:$A$40,0)),"")</f>
        <v>87.9</v>
      </c>
    </row>
    <row r="10" spans="1:20" ht="15" customHeight="1" x14ac:dyDescent="0.3">
      <c r="A10" s="31" t="s">
        <v>194</v>
      </c>
      <c r="B10" s="31"/>
      <c r="C10" s="31"/>
      <c r="D10" s="31"/>
      <c r="E10" s="31"/>
      <c r="F10" s="31"/>
      <c r="G10" s="31"/>
      <c r="H10" s="31"/>
      <c r="I10" s="31"/>
      <c r="J10" s="31"/>
      <c r="K10" s="31"/>
      <c r="L10" s="31"/>
      <c r="M10" s="31"/>
      <c r="N10" s="31"/>
      <c r="O10" s="31"/>
      <c r="P10" s="31"/>
      <c r="Q10" s="31"/>
      <c r="R10" s="31"/>
      <c r="S10" s="31"/>
      <c r="T10" s="31"/>
    </row>
    <row r="11" spans="1:20" x14ac:dyDescent="0.3">
      <c r="A11" s="10" t="s">
        <v>148</v>
      </c>
      <c r="B11" s="15">
        <f ca="1">SUMIFS('Throw Log'!$Q$5:$Q$300,'Throw Log'!$B$5:$B$300,$B$4,'Throw Log'!$A$5:$A$300,"&gt;="&amp;($B$7-6),'Throw Log'!$A$5:$A$300,"&lt;="&amp;$B$7)/7</f>
        <v>70.188571428571422</v>
      </c>
    </row>
    <row r="12" spans="1:20" x14ac:dyDescent="0.3">
      <c r="A12" s="10" t="s">
        <v>149</v>
      </c>
      <c r="B12" s="15">
        <f ca="1">SUMIFS('Throw Log'!$Q$5:$Q$300,'Throw Log'!$B$5:$B$300,$B$4,'Throw Log'!$A$5:$A$300,"&gt;="&amp;($B$7-27),'Throw Log'!$A$5:$A$300,"&lt;="&amp;$B$7)/28</f>
        <v>63.089999999999996</v>
      </c>
    </row>
    <row r="13" spans="1:20" x14ac:dyDescent="0.3">
      <c r="A13" s="22" t="s">
        <v>150</v>
      </c>
      <c r="B13" s="23">
        <f ca="1">IFERROR(B11/B12,"N/A")</f>
        <v>1.1125150012453864</v>
      </c>
    </row>
    <row r="14" spans="1:20" x14ac:dyDescent="0.3">
      <c r="A14" s="22" t="s">
        <v>38</v>
      </c>
      <c r="B14" s="24" t="str">
        <f ca="1">IF(OR(B12=0,B13="N/A"),"Insufficient history (need ~28 days logged)",IFERROR(VLOOKUP(B13,Reference!$A$24:$C$27,2,TRUE()),"Insufficient history"))</f>
        <v>Sweet Spot</v>
      </c>
    </row>
    <row r="15" spans="1:20" ht="39.75" customHeight="1" x14ac:dyDescent="0.3">
      <c r="A15" s="10" t="s">
        <v>39</v>
      </c>
      <c r="B15" s="34" t="str">
        <f ca="1">IF(OR(B12=0,B13="N/A"),"Log at least 28 days of throws for a reliable trend. Meanwhile, rely on RPE and arm feedback before adding volume.",IFERROR(VLOOKUP(B13,Reference!$A$24:$C$27,3,TRUE()),""))</f>
        <v>0.8–1.3 — ideal loading zone; maintain the planned progression.</v>
      </c>
      <c r="C15" s="34"/>
      <c r="D15" s="34"/>
      <c r="E15" s="34"/>
      <c r="F15" s="34"/>
    </row>
    <row r="16" spans="1:20" ht="30" customHeight="1" x14ac:dyDescent="0.3">
      <c r="A16" s="10" t="s">
        <v>195</v>
      </c>
      <c r="B16" s="17">
        <f ca="1">IF(OR(B14="Caution",B14="High Risk"),-1,IF(B14="Undertrained",1,0))</f>
        <v>0</v>
      </c>
      <c r="C16" s="30" t="s">
        <v>196</v>
      </c>
      <c r="D16" s="30"/>
      <c r="E16" s="30"/>
      <c r="F16" s="30"/>
      <c r="G16" s="30"/>
      <c r="H16" s="30"/>
      <c r="I16" s="30"/>
      <c r="J16" s="30"/>
      <c r="K16" s="30"/>
      <c r="L16" s="30"/>
      <c r="M16" s="30"/>
      <c r="N16" s="30"/>
      <c r="O16" s="30"/>
      <c r="P16" s="30"/>
      <c r="Q16" s="30"/>
      <c r="R16" s="30"/>
      <c r="S16" s="30"/>
      <c r="T16" s="30"/>
    </row>
    <row r="18" spans="1:20" ht="15" customHeight="1" x14ac:dyDescent="0.3">
      <c r="A18" s="31" t="s">
        <v>197</v>
      </c>
      <c r="B18" s="31"/>
      <c r="C18" s="31"/>
      <c r="D18" s="31"/>
      <c r="E18" s="31"/>
      <c r="F18" s="31"/>
      <c r="G18" s="31"/>
      <c r="H18" s="31"/>
      <c r="I18" s="31"/>
      <c r="J18" s="31"/>
      <c r="K18" s="31"/>
      <c r="L18" s="31"/>
      <c r="M18" s="31"/>
      <c r="N18" s="31"/>
      <c r="O18" s="31"/>
      <c r="P18" s="31"/>
      <c r="Q18" s="31"/>
      <c r="R18" s="31"/>
      <c r="S18" s="31"/>
      <c r="T18" s="31"/>
    </row>
    <row r="19" spans="1:20" x14ac:dyDescent="0.3">
      <c r="A19" s="10" t="s">
        <v>198</v>
      </c>
      <c r="B19" s="27">
        <f ca="1">$B$7+1</f>
        <v>46296</v>
      </c>
    </row>
    <row r="20" spans="1:20" ht="15" customHeight="1" x14ac:dyDescent="0.3">
      <c r="A20" s="10" t="s">
        <v>199</v>
      </c>
      <c r="B20" s="38" t="str">
        <f ca="1">IF(R28="","(check inputs above)",R28)</f>
        <v>Low</v>
      </c>
      <c r="C20" s="38"/>
      <c r="D20" s="38"/>
    </row>
    <row r="21" spans="1:20" ht="30" customHeight="1" x14ac:dyDescent="0.3">
      <c r="A21" s="10" t="s">
        <v>200</v>
      </c>
      <c r="B21" s="34" t="str">
        <f ca="1">IF(S28="","",S28)</f>
        <v>90 ft — 45-55 throws @ 70-74 mph  +  60 ft — 15-25 throws @ 74-76 mph</v>
      </c>
      <c r="C21" s="34"/>
      <c r="D21" s="34"/>
      <c r="E21" s="34"/>
      <c r="F21" s="34"/>
      <c r="G21" s="34"/>
      <c r="H21" s="34"/>
      <c r="I21" s="34"/>
      <c r="J21" s="34"/>
      <c r="K21" s="34"/>
      <c r="L21" s="34"/>
      <c r="M21" s="34"/>
      <c r="N21" s="34"/>
      <c r="O21" s="34"/>
      <c r="P21" s="34"/>
      <c r="Q21" s="34"/>
      <c r="R21" s="34"/>
      <c r="S21" s="34"/>
      <c r="T21" s="34"/>
    </row>
    <row r="22" spans="1:20" ht="30" customHeight="1" x14ac:dyDescent="0.3">
      <c r="A22" s="10" t="s">
        <v>201</v>
      </c>
      <c r="B22" s="34" t="str">
        <f>"("&amp;TEXT($B$6,"ddd m/d")&amp;" — "&amp;$B$5&amp;") "&amp;IF($B$5="Game",IF(AND($B$23="",$D$23=""),"Enter planned pitches/innings below — velo cannot be predicted for a live game.",IF(AND($B$23&lt;&gt;"",$D$23&lt;&gt;""),"Planned: "&amp;$B$23&amp;" pitches over "&amp;$D$23&amp;" innings",IF($B$23&lt;&gt;"","Planned: "&amp;$B$23&amp;" pitches","Planned: "&amp;$D$23&amp;" innings"))),IF($B$5="High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mph"),IF($B$5="Low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f>
        <v>(Fri 10/9 — Game) Enter planned pitches/innings below — velo cannot be predicted for a live game.</v>
      </c>
      <c r="C22" s="34"/>
      <c r="D22" s="34"/>
      <c r="E22" s="34"/>
      <c r="F22" s="34"/>
      <c r="G22" s="34"/>
      <c r="H22" s="34"/>
      <c r="I22" s="34"/>
      <c r="J22" s="34"/>
      <c r="K22" s="34"/>
      <c r="L22" s="34"/>
      <c r="M22" s="34"/>
      <c r="N22" s="34"/>
      <c r="O22" s="34"/>
      <c r="P22" s="34"/>
      <c r="Q22" s="34"/>
      <c r="R22" s="34"/>
      <c r="S22" s="34"/>
      <c r="T22" s="34"/>
    </row>
    <row r="23" spans="1:20" ht="30" customHeight="1" x14ac:dyDescent="0.3">
      <c r="A23" s="10" t="s">
        <v>202</v>
      </c>
      <c r="B23" s="2"/>
      <c r="C23" s="10" t="s">
        <v>203</v>
      </c>
      <c r="D23" s="2"/>
      <c r="E23" s="30" t="s">
        <v>204</v>
      </c>
      <c r="F23" s="30"/>
      <c r="G23" s="30"/>
      <c r="H23" s="30"/>
      <c r="I23" s="30"/>
      <c r="J23" s="30"/>
      <c r="K23" s="30"/>
      <c r="L23" s="30"/>
      <c r="M23" s="30"/>
      <c r="N23" s="30"/>
      <c r="O23" s="30"/>
      <c r="P23" s="30"/>
      <c r="Q23" s="30"/>
      <c r="R23" s="30"/>
      <c r="S23" s="30"/>
      <c r="T23" s="30"/>
    </row>
    <row r="24" spans="1:20" ht="15" customHeight="1" x14ac:dyDescent="0.3">
      <c r="A24" s="31" t="s">
        <v>205</v>
      </c>
      <c r="B24" s="31"/>
      <c r="C24" s="31"/>
      <c r="D24" s="31"/>
      <c r="E24" s="31"/>
      <c r="F24" s="31"/>
      <c r="G24" s="31"/>
      <c r="H24" s="31"/>
      <c r="I24" s="31"/>
      <c r="J24" s="31"/>
      <c r="K24" s="31"/>
      <c r="L24" s="31"/>
      <c r="M24" s="31"/>
      <c r="N24" s="31"/>
      <c r="O24" s="31"/>
      <c r="P24" s="31"/>
      <c r="Q24" s="31"/>
      <c r="R24" s="31"/>
      <c r="S24" s="31"/>
      <c r="T24" s="31"/>
    </row>
    <row r="25" spans="1:20" ht="96" customHeight="1" x14ac:dyDescent="0.3">
      <c r="A25" s="30" t="s">
        <v>206</v>
      </c>
      <c r="B25" s="30"/>
      <c r="C25" s="30"/>
      <c r="D25" s="30"/>
      <c r="E25" s="30"/>
      <c r="F25" s="30"/>
      <c r="G25" s="30"/>
      <c r="H25" s="30"/>
      <c r="I25" s="30"/>
      <c r="J25" s="30"/>
      <c r="K25" s="30"/>
      <c r="L25" s="30"/>
      <c r="M25" s="30"/>
      <c r="N25" s="30"/>
      <c r="O25" s="30"/>
      <c r="P25" s="30"/>
      <c r="Q25" s="30"/>
      <c r="R25" s="30"/>
      <c r="S25" s="30"/>
      <c r="T25" s="30"/>
    </row>
    <row r="27" spans="1:20" ht="42" customHeight="1" x14ac:dyDescent="0.3">
      <c r="A27" s="8" t="s">
        <v>108</v>
      </c>
      <c r="B27" s="8" t="s">
        <v>207</v>
      </c>
      <c r="C27" s="8" t="s">
        <v>208</v>
      </c>
      <c r="D27" s="8" t="s">
        <v>209</v>
      </c>
      <c r="E27" s="8" t="s">
        <v>210</v>
      </c>
      <c r="F27" s="8" t="s">
        <v>211</v>
      </c>
      <c r="G27" s="8" t="s">
        <v>212</v>
      </c>
      <c r="H27" s="8" t="s">
        <v>213</v>
      </c>
      <c r="I27" s="8" t="s">
        <v>214</v>
      </c>
      <c r="J27" s="8" t="s">
        <v>215</v>
      </c>
      <c r="K27" s="8" t="s">
        <v>216</v>
      </c>
      <c r="L27" s="8" t="s">
        <v>217</v>
      </c>
      <c r="M27" s="8" t="s">
        <v>218</v>
      </c>
      <c r="N27" s="8" t="s">
        <v>219</v>
      </c>
      <c r="O27" s="8" t="s">
        <v>220</v>
      </c>
      <c r="P27" s="8" t="s">
        <v>221</v>
      </c>
      <c r="Q27" s="8" t="s">
        <v>222</v>
      </c>
      <c r="R27" s="8" t="s">
        <v>223</v>
      </c>
      <c r="S27" s="8" t="s">
        <v>224</v>
      </c>
      <c r="T27" s="8" t="s">
        <v>225</v>
      </c>
    </row>
    <row r="28" spans="1:20" ht="39" customHeight="1" x14ac:dyDescent="0.3">
      <c r="A28" s="19">
        <f ca="1">IF($B$7+1&lt;$B$6,$B$7+1,"")</f>
        <v>46296</v>
      </c>
      <c r="B28" s="17" t="str">
        <f t="shared" ref="B28:B48" ca="1" si="0">IF(A28="","",TEXT(A28,"ddd"))</f>
        <v>Thu</v>
      </c>
      <c r="C28" s="17">
        <f t="shared" ref="C28:C48" ca="1" si="1">IF(A28="","",$B$6-A28)</f>
        <v>8</v>
      </c>
      <c r="D28" s="17" t="str">
        <f ca="1">IF(A28="","",IF(AND(T28&lt;&gt;"",T28&lt;&gt;"(none)"),T28,IF(C28&lt;=5,IFERROR(INDEX(Reference!$B$73:$B$78,MATCH(C28,Reference!$A$73:$A$78,0)),"Low"),IFERROR(INDEX(Reference!$B$84:$B$86,MATCH(MOD(C28-6,3),Reference!$A$84:$A$86,0)),"Low"))))</f>
        <v>Low</v>
      </c>
      <c r="E28" s="17">
        <f t="shared" ref="E28:E48" ca="1" si="2">IF(D28="","",IF(D28="No Throw",0,IF(D28="Low",1,IF(OR(D28="Medium",D28="Low Bullpen"),2,IF(OR(D28="High Non-Bullpen",D28="High Bullpen"),3,4)))))</f>
        <v>1</v>
      </c>
      <c r="F28" s="27">
        <f t="shared" ref="F28:F48" ca="1" si="3">IF(A28="","",A28-1)</f>
        <v>46295</v>
      </c>
      <c r="G28" s="17">
        <f t="shared" ref="G28:G48" ca="1" si="4">IF(F28="","",$B$6-F28)</f>
        <v>9</v>
      </c>
      <c r="H28" s="17" t="str">
        <f ca="1">IF(F28="","",IF(G28&lt;=5,IFERROR(INDEX(Reference!$B$73:$B$78,MATCH(G28,Reference!$A$73:$A$78,0)),"Low"),IFERROR(INDEX(Reference!$B$84:$B$86,MATCH(MOD(G28-6,3),Reference!$A$84:$A$86,0)),"Low")))</f>
        <v>Medium</v>
      </c>
      <c r="I28" s="15">
        <f ca="1">IF(H28="","",IFERROR(INDEX('Day Type Templates'!$B$55:$B$60,MATCH(H28,'Day Type Templates'!$A$55:$A$60,0)),""))</f>
        <v>87.25</v>
      </c>
      <c r="J28" s="15">
        <f ca="1">IF(F28="","",SUMIFS('Throw Log'!$Q$5:$Q$300,'Throw Log'!$B$5:$B$300,$B$4,'Throw Log'!$A$5:$A$300,F28))</f>
        <v>0</v>
      </c>
      <c r="K28" s="28">
        <f t="shared" ref="K28:K48" ca="1" si="5">IF(OR(I28="",I28=0,J28="",J28=0),1,J28/I28)</f>
        <v>1</v>
      </c>
      <c r="L28" s="17">
        <f t="shared" ref="L28:L48" ca="1" si="6">IF(K28&gt;1.2,-1,IF(K28&lt;0.8,1,0))</f>
        <v>0</v>
      </c>
      <c r="M28" s="17">
        <f ca="1">IF(A28="","",0)</f>
        <v>0</v>
      </c>
      <c r="N28" s="17">
        <f t="shared" ref="N28:N48" ca="1" si="7">$B$16</f>
        <v>0</v>
      </c>
      <c r="O28" s="17">
        <f t="shared" ref="O28:O48" ca="1" si="8">IF(A28="","",IF(M28&lt;&gt;0,M28,MIN(L28,N28)))</f>
        <v>0</v>
      </c>
      <c r="P28" s="17">
        <f t="shared" ref="P28:P48" ca="1" si="9">IF(C28=1,MIN(O28,0),O28)</f>
        <v>0</v>
      </c>
      <c r="Q28" s="17">
        <f t="shared" ref="Q28:Q48" ca="1" si="10">IF(A28="","",MIN(3,MAX(1,E28+P28)))</f>
        <v>1</v>
      </c>
      <c r="R28" s="17" t="str">
        <f t="shared" ref="R28:R48" ca="1" si="11">IF(A28="","",IF(AND(T28&lt;&gt;"",T28&lt;&gt;"(none)"),T28,IF(Q28="","",IF(Q28=E28,D28,IF(Q28=1,"Low",IF(Q28=2,"Medium","High Non-Bullpen"))))))</f>
        <v>Low</v>
      </c>
      <c r="S28" s="1" t="str">
        <f ca="1">IF(R28="","",IF(R28="No Throw","Full rest — no throwing today.",IF(R28="Low",CONCATENATE(IF('Day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mph"),IF(R28="Medium",CONCATENATE(IF('Day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mph"),IF(R28="High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mph"),IF(R28="High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mph"),IF(R28="Low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90 ft — 45-55 throws @ 70-74 mph  +  60 ft — 15-25 throws @ 74-76 mph</v>
      </c>
      <c r="T28" s="2" t="s">
        <v>226</v>
      </c>
    </row>
    <row r="29" spans="1:20" ht="52.5" customHeight="1" x14ac:dyDescent="0.3">
      <c r="A29" s="19">
        <f ca="1">IF($B$7+2&lt;$B$6,$B$7+2,"")</f>
        <v>46297</v>
      </c>
      <c r="B29" s="17" t="str">
        <f t="shared" ca="1" si="0"/>
        <v>Fri</v>
      </c>
      <c r="C29" s="17">
        <f t="shared" ca="1" si="1"/>
        <v>7</v>
      </c>
      <c r="D29" s="17" t="str">
        <f ca="1">IF(A29="","",IF(AND(T29&lt;&gt;"",T29&lt;&gt;"(none)"),T29,IF(C29&lt;=5,IFERROR(INDEX(Reference!$B$73:$B$78,MATCH(C29,Reference!$A$73:$A$78,0)),"Low"),IFERROR(INDEX(Reference!$B$84:$B$86,MATCH(MOD(C29-6,3),Reference!$A$84:$A$86,0)),"Low"))))</f>
        <v>Low Bullpen</v>
      </c>
      <c r="E29" s="17">
        <f t="shared" ca="1" si="2"/>
        <v>2</v>
      </c>
      <c r="F29" s="27">
        <f t="shared" ca="1" si="3"/>
        <v>46296</v>
      </c>
      <c r="G29" s="17">
        <f t="shared" ca="1" si="4"/>
        <v>8</v>
      </c>
      <c r="H29" s="17" t="str">
        <f t="shared" ref="H29:H48" ca="1" si="12">IF(F29="","",R28)</f>
        <v>Low</v>
      </c>
      <c r="I29" s="15">
        <f ca="1">IF(H29="","",IFERROR(INDEX('Day Type Templates'!$B$55:$B$60,MATCH(H29,'Day Type Templates'!$A$55:$A$60,0)),""))</f>
        <v>46.35</v>
      </c>
      <c r="J29" s="15">
        <f ca="1">IF(F29="","",SUMIFS('Throw Log'!$Q$5:$Q$300,'Throw Log'!$B$5:$B$300,$B$4,'Throw Log'!$A$5:$A$300,F29))</f>
        <v>0</v>
      </c>
      <c r="K29" s="28">
        <f t="shared" ca="1" si="5"/>
        <v>1</v>
      </c>
      <c r="L29" s="17">
        <f t="shared" ca="1" si="6"/>
        <v>0</v>
      </c>
      <c r="M29" s="17">
        <f ca="1">IF(A29="","",IF(R28="","",IF(IF(R28="No Throw",0,IF(R28="Low",1,IF(OR(R28="Medium",R28="Low Bullpen"),2,IF(OR(R28="High Non-Bullpen",R28="High Bullpen"),3,4))))=IF(IF(C28&lt;=5,IFERROR(INDEX(Reference!$B$73:$B$78,MATCH(C28,Reference!$A$73:$A$78,0)),"Low"),IFERROR(INDEX(Reference!$B$84:$B$86,MATCH(MOD(C28-6,3),Reference!$A$84:$A$86,0)),"Low"))="No Throw",0,IF(IF(C28&lt;=5,IFERROR(INDEX(Reference!$B$73:$B$78,MATCH(C28,Reference!$A$73:$A$78,0)),"Low"),IFERROR(INDEX(Reference!$B$84:$B$86,MATCH(MOD(C28-6,3),Reference!$A$84:$A$86,0)),"Low"))="Low",1,IF(IF(C28&lt;=5,IFERROR(INDEX(Reference!$B$73:$B$78,MATCH(C28,Reference!$A$73:$A$78,0)),"Low"),IFERROR(INDEX(Reference!$B$84:$B$86,MATCH(MOD(C28-6,3),Reference!$A$84:$A$86,0)),"Low"))="Medium",2,IF(OR(IF(C28&lt;=5,IFERROR(INDEX(Reference!$B$73:$B$78,MATCH(C28,Reference!$A$73:$A$78,0)),"Low"),IFERROR(INDEX(Reference!$B$84:$B$86,MATCH(MOD(C28-6,3),Reference!$A$84:$A$86,0)),"Low"))="High Non-Bullpen",IF(C28&lt;=5,IFERROR(INDEX(Reference!$B$73:$B$78,MATCH(C28,Reference!$A$73:$A$78,0)),"Low"),IFERROR(INDEX(Reference!$B$84:$B$86,MATCH(MOD(C28-6,3),Reference!$A$84:$A$86,0)),"Low"))="High Bullpen"),3,4)))),0,IF(IF(R28="No Throw",0,IF(R28="Low",1,IF(R28="Medium",2,IF(OR(R28="High Non-Bullpen",R28="High Bullpen"),3,4))))&gt;IF(IF(C28&lt;=5,IFERROR(INDEX(Reference!$B$73:$B$78,MATCH(C28,Reference!$A$73:$A$78,0)),"Low"),IFERROR(INDEX(Reference!$B$84:$B$86,MATCH(MOD(C28-6,3),Reference!$A$84:$A$86,0)),"Low"))="No Throw",0,IF(IF(C28&lt;=5,IFERROR(INDEX(Reference!$B$73:$B$78,MATCH(C28,Reference!$A$73:$A$78,0)),"Low"),IFERROR(INDEX(Reference!$B$84:$B$86,MATCH(MOD(C28-6,3),Reference!$A$84:$A$86,0)),"Low"))="Low",1,IF(IF(C28&lt;=5,IFERROR(INDEX(Reference!$B$73:$B$78,MATCH(C28,Reference!$A$73:$A$78,0)),"Low"),IFERROR(INDEX(Reference!$B$84:$B$86,MATCH(MOD(C28-6,3),Reference!$A$84:$A$86,0)),"Low"))="Medium",2,IF(OR(IF(C28&lt;=5,IFERROR(INDEX(Reference!$B$73:$B$78,MATCH(C28,Reference!$A$73:$A$78,0)),"Low"),IFERROR(INDEX(Reference!$B$84:$B$86,MATCH(MOD(C28-6,3),Reference!$A$84:$A$86,0)),"Low"))="High Non-Bullpen",IF(C28&lt;=5,IFERROR(INDEX(Reference!$B$73:$B$78,MATCH(C28,Reference!$A$73:$A$78,0)),"Low"),IFERROR(INDEX(Reference!$B$84:$B$86,MATCH(MOD(C28-6,3),Reference!$A$84:$A$86,0)),"Low"))="High Bullpen"),3,4)))),-1,1))))</f>
        <v>0</v>
      </c>
      <c r="N29" s="17">
        <f t="shared" ca="1" si="7"/>
        <v>0</v>
      </c>
      <c r="O29" s="17">
        <f t="shared" ca="1" si="8"/>
        <v>0</v>
      </c>
      <c r="P29" s="17">
        <f t="shared" ca="1" si="9"/>
        <v>0</v>
      </c>
      <c r="Q29" s="17">
        <f t="shared" ca="1" si="10"/>
        <v>2</v>
      </c>
      <c r="R29" s="17" t="str">
        <f t="shared" ca="1" si="11"/>
        <v>Low Bullpen</v>
      </c>
      <c r="S29" s="1" t="str">
        <f ca="1">IF(R29="","",IF(R29="No Throw","Full rest — no throwing today.",IF(R29="Low",CONCATENATE(IF('Day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mph"),IF(R29="Medium",CONCATENATE(IF('Day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mph"),IF(R29="High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mph"),IF(R29="High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mph"),IF(R29="Low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90 ft — 20-30 throws @ 70-74 mph  +  Mound — 20-25 throws @ 79-81 mph</v>
      </c>
      <c r="T29" s="2" t="s">
        <v>178</v>
      </c>
    </row>
    <row r="30" spans="1:20" ht="39" customHeight="1" x14ac:dyDescent="0.3">
      <c r="A30" s="19">
        <f ca="1">IF($B$7+3&lt;$B$6,$B$7+3,"")</f>
        <v>46298</v>
      </c>
      <c r="B30" s="17" t="str">
        <f t="shared" ca="1" si="0"/>
        <v>Sat</v>
      </c>
      <c r="C30" s="17">
        <f t="shared" ca="1" si="1"/>
        <v>6</v>
      </c>
      <c r="D30" s="17" t="str">
        <f ca="1">IF(A30="","",IF(AND(T30&lt;&gt;"",T30&lt;&gt;"(none)"),T30,IF(C30&lt;=5,IFERROR(INDEX(Reference!$B$73:$B$78,MATCH(C30,Reference!$A$73:$A$78,0)),"Low"),IFERROR(INDEX(Reference!$B$84:$B$86,MATCH(MOD(C30-6,3),Reference!$A$84:$A$86,0)),"Low"))))</f>
        <v>Low</v>
      </c>
      <c r="E30" s="17">
        <f t="shared" ca="1" si="2"/>
        <v>1</v>
      </c>
      <c r="F30" s="27">
        <f t="shared" ca="1" si="3"/>
        <v>46297</v>
      </c>
      <c r="G30" s="17">
        <f t="shared" ca="1" si="4"/>
        <v>7</v>
      </c>
      <c r="H30" s="17" t="str">
        <f t="shared" ca="1" si="12"/>
        <v>Low Bullpen</v>
      </c>
      <c r="I30" s="15">
        <f ca="1">IF(H30="","",IFERROR(INDEX('Day Type Templates'!$B$55:$B$60,MATCH(H30,'Day Type Templates'!$A$55:$A$60,0)),""))</f>
        <v>76.05</v>
      </c>
      <c r="J30" s="15">
        <f ca="1">IF(F30="","",SUMIFS('Throw Log'!$Q$5:$Q$300,'Throw Log'!$B$5:$B$300,$B$4,'Throw Log'!$A$5:$A$300,F30))</f>
        <v>0</v>
      </c>
      <c r="K30" s="28">
        <f t="shared" ca="1" si="5"/>
        <v>1</v>
      </c>
      <c r="L30" s="17">
        <f t="shared" ca="1" si="6"/>
        <v>0</v>
      </c>
      <c r="M30" s="17">
        <f ca="1">IF(A30="","",IF(R29="","",IF(IF(R29="No Throw",0,IF(R29="Low",1,IF(OR(R29="Medium",R29="Low Bullpen"),2,IF(OR(R29="High Non-Bullpen",R29="High Bullpen"),3,4))))=IF(IF(C29&lt;=5,IFERROR(INDEX(Reference!$B$73:$B$78,MATCH(C29,Reference!$A$73:$A$78,0)),"Low"),IFERROR(INDEX(Reference!$B$84:$B$86,MATCH(MOD(C29-6,3),Reference!$A$84:$A$86,0)),"Low"))="No Throw",0,IF(IF(C29&lt;=5,IFERROR(INDEX(Reference!$B$73:$B$78,MATCH(C29,Reference!$A$73:$A$78,0)),"Low"),IFERROR(INDEX(Reference!$B$84:$B$86,MATCH(MOD(C29-6,3),Reference!$A$84:$A$86,0)),"Low"))="Low",1,IF(IF(C29&lt;=5,IFERROR(INDEX(Reference!$B$73:$B$78,MATCH(C29,Reference!$A$73:$A$78,0)),"Low"),IFERROR(INDEX(Reference!$B$84:$B$86,MATCH(MOD(C29-6,3),Reference!$A$84:$A$86,0)),"Low"))="Medium",2,IF(OR(IF(C29&lt;=5,IFERROR(INDEX(Reference!$B$73:$B$78,MATCH(C29,Reference!$A$73:$A$78,0)),"Low"),IFERROR(INDEX(Reference!$B$84:$B$86,MATCH(MOD(C29-6,3),Reference!$A$84:$A$86,0)),"Low"))="High Non-Bullpen",IF(C29&lt;=5,IFERROR(INDEX(Reference!$B$73:$B$78,MATCH(C29,Reference!$A$73:$A$78,0)),"Low"),IFERROR(INDEX(Reference!$B$84:$B$86,MATCH(MOD(C29-6,3),Reference!$A$84:$A$86,0)),"Low"))="High Bullpen"),3,4)))),0,IF(IF(R29="No Throw",0,IF(R29="Low",1,IF(R29="Medium",2,IF(OR(R29="High Non-Bullpen",R29="High Bullpen"),3,4))))&gt;IF(IF(C29&lt;=5,IFERROR(INDEX(Reference!$B$73:$B$78,MATCH(C29,Reference!$A$73:$A$78,0)),"Low"),IFERROR(INDEX(Reference!$B$84:$B$86,MATCH(MOD(C29-6,3),Reference!$A$84:$A$86,0)),"Low"))="No Throw",0,IF(IF(C29&lt;=5,IFERROR(INDEX(Reference!$B$73:$B$78,MATCH(C29,Reference!$A$73:$A$78,0)),"Low"),IFERROR(INDEX(Reference!$B$84:$B$86,MATCH(MOD(C29-6,3),Reference!$A$84:$A$86,0)),"Low"))="Low",1,IF(IF(C29&lt;=5,IFERROR(INDEX(Reference!$B$73:$B$78,MATCH(C29,Reference!$A$73:$A$78,0)),"Low"),IFERROR(INDEX(Reference!$B$84:$B$86,MATCH(MOD(C29-6,3),Reference!$A$84:$A$86,0)),"Low"))="Medium",2,IF(OR(IF(C29&lt;=5,IFERROR(INDEX(Reference!$B$73:$B$78,MATCH(C29,Reference!$A$73:$A$78,0)),"Low"),IFERROR(INDEX(Reference!$B$84:$B$86,MATCH(MOD(C29-6,3),Reference!$A$84:$A$86,0)),"Low"))="High Non-Bullpen",IF(C29&lt;=5,IFERROR(INDEX(Reference!$B$73:$B$78,MATCH(C29,Reference!$A$73:$A$78,0)),"Low"),IFERROR(INDEX(Reference!$B$84:$B$86,MATCH(MOD(C29-6,3),Reference!$A$84:$A$86,0)),"Low"))="High Bullpen"),3,4)))),-1,1))))</f>
        <v>-1</v>
      </c>
      <c r="N30" s="17">
        <f t="shared" ca="1" si="7"/>
        <v>0</v>
      </c>
      <c r="O30" s="17">
        <f t="shared" ca="1" si="8"/>
        <v>-1</v>
      </c>
      <c r="P30" s="17">
        <f t="shared" ca="1" si="9"/>
        <v>-1</v>
      </c>
      <c r="Q30" s="17">
        <f t="shared" ca="1" si="10"/>
        <v>1</v>
      </c>
      <c r="R30" s="17" t="str">
        <f t="shared" ca="1" si="11"/>
        <v>Low</v>
      </c>
      <c r="S30" s="1" t="str">
        <f ca="1">IF(R30="","",IF(R30="No Throw","Full rest — no throwing today.",IF(R30="Low",CONCATENATE(IF('Day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mph"),IF(R30="Medium",CONCATENATE(IF('Day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mph"),IF(R30="High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mph"),IF(R30="High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mph"),IF(R30="Low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90 ft — 45-55 throws @ 70-74 mph  +  60 ft — 15-25 throws @ 74-76 mph</v>
      </c>
      <c r="T30" s="2" t="s">
        <v>81</v>
      </c>
    </row>
    <row r="31" spans="1:20" ht="39" customHeight="1" x14ac:dyDescent="0.3">
      <c r="A31" s="19">
        <f ca="1">IF($B$7+4&lt;$B$6,$B$7+4,"")</f>
        <v>46299</v>
      </c>
      <c r="B31" s="17" t="str">
        <f t="shared" ca="1" si="0"/>
        <v>Sun</v>
      </c>
      <c r="C31" s="17">
        <f t="shared" ca="1" si="1"/>
        <v>5</v>
      </c>
      <c r="D31" s="17" t="str">
        <f ca="1">IF(A31="","",IF(AND(T31&lt;&gt;"",T31&lt;&gt;"(none)"),T31,IF(C31&lt;=5,IFERROR(INDEX(Reference!$B$73:$B$78,MATCH(C31,Reference!$A$73:$A$78,0)),"Low"),IFERROR(INDEX(Reference!$B$84:$B$86,MATCH(MOD(C31-6,3),Reference!$A$84:$A$86,0)),"Low"))))</f>
        <v>No Throw</v>
      </c>
      <c r="E31" s="17">
        <f t="shared" ca="1" si="2"/>
        <v>0</v>
      </c>
      <c r="F31" s="27">
        <f t="shared" ca="1" si="3"/>
        <v>46298</v>
      </c>
      <c r="G31" s="17">
        <f t="shared" ca="1" si="4"/>
        <v>6</v>
      </c>
      <c r="H31" s="17" t="str">
        <f t="shared" ca="1" si="12"/>
        <v>Low</v>
      </c>
      <c r="I31" s="15">
        <f ca="1">IF(H31="","",IFERROR(INDEX('Day Type Templates'!$B$55:$B$60,MATCH(H31,'Day Type Templates'!$A$55:$A$60,0)),""))</f>
        <v>46.35</v>
      </c>
      <c r="J31" s="15">
        <f ca="1">IF(F31="","",SUMIFS('Throw Log'!$Q$5:$Q$300,'Throw Log'!$B$5:$B$300,$B$4,'Throw Log'!$A$5:$A$300,F31))</f>
        <v>0</v>
      </c>
      <c r="K31" s="28">
        <f t="shared" ca="1" si="5"/>
        <v>1</v>
      </c>
      <c r="L31" s="17">
        <f t="shared" ca="1" si="6"/>
        <v>0</v>
      </c>
      <c r="M31" s="17">
        <f ca="1">IF(A31="","",IF(R30="","",IF(IF(R30="No Throw",0,IF(R30="Low",1,IF(OR(R30="Medium",R30="Low Bullpen"),2,IF(OR(R30="High Non-Bullpen",R30="High Bullpen"),3,4))))=IF(IF(C30&lt;=5,IFERROR(INDEX(Reference!$B$73:$B$78,MATCH(C30,Reference!$A$73:$A$78,0)),"Low"),IFERROR(INDEX(Reference!$B$84:$B$86,MATCH(MOD(C30-6,3),Reference!$A$84:$A$86,0)),"Low"))="No Throw",0,IF(IF(C30&lt;=5,IFERROR(INDEX(Reference!$B$73:$B$78,MATCH(C30,Reference!$A$73:$A$78,0)),"Low"),IFERROR(INDEX(Reference!$B$84:$B$86,MATCH(MOD(C30-6,3),Reference!$A$84:$A$86,0)),"Low"))="Low",1,IF(IF(C30&lt;=5,IFERROR(INDEX(Reference!$B$73:$B$78,MATCH(C30,Reference!$A$73:$A$78,0)),"Low"),IFERROR(INDEX(Reference!$B$84:$B$86,MATCH(MOD(C30-6,3),Reference!$A$84:$A$86,0)),"Low"))="Medium",2,IF(OR(IF(C30&lt;=5,IFERROR(INDEX(Reference!$B$73:$B$78,MATCH(C30,Reference!$A$73:$A$78,0)),"Low"),IFERROR(INDEX(Reference!$B$84:$B$86,MATCH(MOD(C30-6,3),Reference!$A$84:$A$86,0)),"Low"))="High Non-Bullpen",IF(C30&lt;=5,IFERROR(INDEX(Reference!$B$73:$B$78,MATCH(C30,Reference!$A$73:$A$78,0)),"Low"),IFERROR(INDEX(Reference!$B$84:$B$86,MATCH(MOD(C30-6,3),Reference!$A$84:$A$86,0)),"Low"))="High Bullpen"),3,4)))),0,IF(IF(R30="No Throw",0,IF(R30="Low",1,IF(R30="Medium",2,IF(OR(R30="High Non-Bullpen",R30="High Bullpen"),3,4))))&gt;IF(IF(C30&lt;=5,IFERROR(INDEX(Reference!$B$73:$B$78,MATCH(C30,Reference!$A$73:$A$78,0)),"Low"),IFERROR(INDEX(Reference!$B$84:$B$86,MATCH(MOD(C30-6,3),Reference!$A$84:$A$86,0)),"Low"))="No Throw",0,IF(IF(C30&lt;=5,IFERROR(INDEX(Reference!$B$73:$B$78,MATCH(C30,Reference!$A$73:$A$78,0)),"Low"),IFERROR(INDEX(Reference!$B$84:$B$86,MATCH(MOD(C30-6,3),Reference!$A$84:$A$86,0)),"Low"))="Low",1,IF(IF(C30&lt;=5,IFERROR(INDEX(Reference!$B$73:$B$78,MATCH(C30,Reference!$A$73:$A$78,0)),"Low"),IFERROR(INDEX(Reference!$B$84:$B$86,MATCH(MOD(C30-6,3),Reference!$A$84:$A$86,0)),"Low"))="Medium",2,IF(OR(IF(C30&lt;=5,IFERROR(INDEX(Reference!$B$73:$B$78,MATCH(C30,Reference!$A$73:$A$78,0)),"Low"),IFERROR(INDEX(Reference!$B$84:$B$86,MATCH(MOD(C30-6,3),Reference!$A$84:$A$86,0)),"Low"))="High Non-Bullpen",IF(C30&lt;=5,IFERROR(INDEX(Reference!$B$73:$B$78,MATCH(C30,Reference!$A$73:$A$78,0)),"Low"),IFERROR(INDEX(Reference!$B$84:$B$86,MATCH(MOD(C30-6,3),Reference!$A$84:$A$86,0)),"Low"))="High Bullpen"),3,4)))),-1,1))))</f>
        <v>1</v>
      </c>
      <c r="N31" s="17">
        <f t="shared" ca="1" si="7"/>
        <v>0</v>
      </c>
      <c r="O31" s="17">
        <f t="shared" ca="1" si="8"/>
        <v>1</v>
      </c>
      <c r="P31" s="17">
        <f t="shared" ca="1" si="9"/>
        <v>1</v>
      </c>
      <c r="Q31" s="17">
        <f t="shared" ca="1" si="10"/>
        <v>1</v>
      </c>
      <c r="R31" s="17" t="str">
        <f t="shared" ca="1" si="11"/>
        <v>No Throw</v>
      </c>
      <c r="S31" s="1" t="str">
        <f ca="1">IF(R31="","",IF(R31="No Throw","Full rest — no throwing today.",IF(R31="Low",CONCATENATE(IF('Day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mph"),IF(R31="Medium",CONCATENATE(IF('Day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mph"),IF(R31="High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mph"),IF(R31="High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mph"),IF(R31="Low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Full rest — no throwing today.</v>
      </c>
      <c r="T31" s="2" t="s">
        <v>49</v>
      </c>
    </row>
    <row r="32" spans="1:20" ht="39" customHeight="1" x14ac:dyDescent="0.3">
      <c r="A32" s="19">
        <f ca="1">IF($B$7+5&lt;$B$6,$B$7+5,"")</f>
        <v>46300</v>
      </c>
      <c r="B32" s="17" t="str">
        <f t="shared" ca="1" si="0"/>
        <v>Mon</v>
      </c>
      <c r="C32" s="17">
        <f t="shared" ca="1" si="1"/>
        <v>4</v>
      </c>
      <c r="D32" s="17" t="str">
        <f ca="1">IF(A32="","",IF(AND(T32&lt;&gt;"",T32&lt;&gt;"(none)"),T32,IF(C32&lt;=5,IFERROR(INDEX(Reference!$B$73:$B$78,MATCH(C32,Reference!$A$73:$A$78,0)),"Low"),IFERROR(INDEX(Reference!$B$84:$B$86,MATCH(MOD(C32-6,3),Reference!$A$84:$A$86,0)),"Low"))))</f>
        <v>Medium</v>
      </c>
      <c r="E32" s="17">
        <f t="shared" ca="1" si="2"/>
        <v>2</v>
      </c>
      <c r="F32" s="27">
        <f t="shared" ca="1" si="3"/>
        <v>46299</v>
      </c>
      <c r="G32" s="17">
        <f t="shared" ca="1" si="4"/>
        <v>5</v>
      </c>
      <c r="H32" s="17" t="str">
        <f t="shared" ca="1" si="12"/>
        <v>No Throw</v>
      </c>
      <c r="I32" s="15" t="str">
        <f ca="1">IF(H32="","",IFERROR(INDEX('Day Type Templates'!$B$55:$B$60,MATCH(H32,'Day Type Templates'!$A$55:$A$60,0)),""))</f>
        <v/>
      </c>
      <c r="J32" s="15">
        <f ca="1">IF(F32="","",SUMIFS('Throw Log'!$Q$5:$Q$300,'Throw Log'!$B$5:$B$300,$B$4,'Throw Log'!$A$5:$A$300,F32))</f>
        <v>0</v>
      </c>
      <c r="K32" s="28">
        <f t="shared" ca="1" si="5"/>
        <v>1</v>
      </c>
      <c r="L32" s="17">
        <f t="shared" ca="1" si="6"/>
        <v>0</v>
      </c>
      <c r="M32" s="17">
        <f ca="1">IF(A32="","",IF(R31="","",IF(IF(R31="No Throw",0,IF(R31="Low",1,IF(OR(R31="Medium",R31="Low Bullpen"),2,IF(OR(R31="High Non-Bullpen",R31="High Bullpen"),3,4))))=IF(IF(C31&lt;=5,IFERROR(INDEX(Reference!$B$73:$B$78,MATCH(C31,Reference!$A$73:$A$78,0)),"Low"),IFERROR(INDEX(Reference!$B$84:$B$86,MATCH(MOD(C31-6,3),Reference!$A$84:$A$86,0)),"Low"))="No Throw",0,IF(IF(C31&lt;=5,IFERROR(INDEX(Reference!$B$73:$B$78,MATCH(C31,Reference!$A$73:$A$78,0)),"Low"),IFERROR(INDEX(Reference!$B$84:$B$86,MATCH(MOD(C31-6,3),Reference!$A$84:$A$86,0)),"Low"))="Low",1,IF(IF(C31&lt;=5,IFERROR(INDEX(Reference!$B$73:$B$78,MATCH(C31,Reference!$A$73:$A$78,0)),"Low"),IFERROR(INDEX(Reference!$B$84:$B$86,MATCH(MOD(C31-6,3),Reference!$A$84:$A$86,0)),"Low"))="Medium",2,IF(OR(IF(C31&lt;=5,IFERROR(INDEX(Reference!$B$73:$B$78,MATCH(C31,Reference!$A$73:$A$78,0)),"Low"),IFERROR(INDEX(Reference!$B$84:$B$86,MATCH(MOD(C31-6,3),Reference!$A$84:$A$86,0)),"Low"))="High Non-Bullpen",IF(C31&lt;=5,IFERROR(INDEX(Reference!$B$73:$B$78,MATCH(C31,Reference!$A$73:$A$78,0)),"Low"),IFERROR(INDEX(Reference!$B$84:$B$86,MATCH(MOD(C31-6,3),Reference!$A$84:$A$86,0)),"Low"))="High Bullpen"),3,4)))),0,IF(IF(R31="No Throw",0,IF(R31="Low",1,IF(R31="Medium",2,IF(OR(R31="High Non-Bullpen",R31="High Bullpen"),3,4))))&gt;IF(IF(C31&lt;=5,IFERROR(INDEX(Reference!$B$73:$B$78,MATCH(C31,Reference!$A$73:$A$78,0)),"Low"),IFERROR(INDEX(Reference!$B$84:$B$86,MATCH(MOD(C31-6,3),Reference!$A$84:$A$86,0)),"Low"))="No Throw",0,IF(IF(C31&lt;=5,IFERROR(INDEX(Reference!$B$73:$B$78,MATCH(C31,Reference!$A$73:$A$78,0)),"Low"),IFERROR(INDEX(Reference!$B$84:$B$86,MATCH(MOD(C31-6,3),Reference!$A$84:$A$86,0)),"Low"))="Low",1,IF(IF(C31&lt;=5,IFERROR(INDEX(Reference!$B$73:$B$78,MATCH(C31,Reference!$A$73:$A$78,0)),"Low"),IFERROR(INDEX(Reference!$B$84:$B$86,MATCH(MOD(C31-6,3),Reference!$A$84:$A$86,0)),"Low"))="Medium",2,IF(OR(IF(C31&lt;=5,IFERROR(INDEX(Reference!$B$73:$B$78,MATCH(C31,Reference!$A$73:$A$78,0)),"Low"),IFERROR(INDEX(Reference!$B$84:$B$86,MATCH(MOD(C31-6,3),Reference!$A$84:$A$86,0)),"Low"))="High Non-Bullpen",IF(C31&lt;=5,IFERROR(INDEX(Reference!$B$73:$B$78,MATCH(C31,Reference!$A$73:$A$78,0)),"Low"),IFERROR(INDEX(Reference!$B$84:$B$86,MATCH(MOD(C31-6,3),Reference!$A$84:$A$86,0)),"Low"))="High Bullpen"),3,4)))),-1,1))))</f>
        <v>1</v>
      </c>
      <c r="N32" s="17">
        <f t="shared" ca="1" si="7"/>
        <v>0</v>
      </c>
      <c r="O32" s="17">
        <f t="shared" ca="1" si="8"/>
        <v>1</v>
      </c>
      <c r="P32" s="17">
        <f t="shared" ca="1" si="9"/>
        <v>1</v>
      </c>
      <c r="Q32" s="17">
        <f t="shared" ca="1" si="10"/>
        <v>3</v>
      </c>
      <c r="R32" s="17" t="str">
        <f t="shared" ca="1" si="11"/>
        <v>High Non-Bullpen</v>
      </c>
      <c r="S32" s="1" t="str">
        <f ca="1">IF(R32="","",IF(R32="No Throw","Full rest — no throwing today.",IF(R32="Low",CONCATENATE(IF('Day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mph"),IF(R32="Medium",CONCATENATE(IF('Day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mph"),IF(R32="High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mph"),IF(R32="High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mph"),IF(R32="Low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150 ft — 30-40 throws @ 79-81 mph  +  120 ft — 20-30 throws @ 85-88 mph  +  60 ft — 15-20 throws @ 82-84 mph</v>
      </c>
      <c r="T32" s="2"/>
    </row>
    <row r="33" spans="1:20" ht="39" customHeight="1" x14ac:dyDescent="0.3">
      <c r="A33" s="19">
        <f ca="1">IF($B$7+6&lt;$B$6,$B$7+6,"")</f>
        <v>46301</v>
      </c>
      <c r="B33" s="17" t="str">
        <f t="shared" ca="1" si="0"/>
        <v>Tue</v>
      </c>
      <c r="C33" s="17">
        <f t="shared" ca="1" si="1"/>
        <v>3</v>
      </c>
      <c r="D33" s="17" t="str">
        <f ca="1">IF(A33="","",IF(AND(T33&lt;&gt;"",T33&lt;&gt;"(none)"),T33,IF(C33&lt;=5,IFERROR(INDEX(Reference!$B$73:$B$78,MATCH(C33,Reference!$A$73:$A$78,0)),"Low"),IFERROR(INDEX(Reference!$B$84:$B$86,MATCH(MOD(C33-6,3),Reference!$A$84:$A$86,0)),"Low"))))</f>
        <v>High Bullpen</v>
      </c>
      <c r="E33" s="17">
        <f t="shared" ca="1" si="2"/>
        <v>3</v>
      </c>
      <c r="F33" s="27">
        <f t="shared" ca="1" si="3"/>
        <v>46300</v>
      </c>
      <c r="G33" s="17">
        <f t="shared" ca="1" si="4"/>
        <v>4</v>
      </c>
      <c r="H33" s="17" t="str">
        <f t="shared" ca="1" si="12"/>
        <v>High Non-Bullpen</v>
      </c>
      <c r="I33" s="15">
        <f ca="1">IF(H33="","",IFERROR(INDEX('Day Type Templates'!$B$55:$B$60,MATCH(H33,'Day Type Templates'!$A$55:$A$60,0)),""))</f>
        <v>193</v>
      </c>
      <c r="J33" s="15">
        <f ca="1">IF(F33="","",SUMIFS('Throw Log'!$Q$5:$Q$300,'Throw Log'!$B$5:$B$300,$B$4,'Throw Log'!$A$5:$A$300,F33))</f>
        <v>0</v>
      </c>
      <c r="K33" s="28">
        <f t="shared" ca="1" si="5"/>
        <v>1</v>
      </c>
      <c r="L33" s="17">
        <f t="shared" ca="1" si="6"/>
        <v>0</v>
      </c>
      <c r="M33" s="17">
        <f ca="1">IF(A33="","",IF(R32="","",IF(IF(R32="No Throw",0,IF(R32="Low",1,IF(OR(R32="Medium",R32="Low Bullpen"),2,IF(OR(R32="High Non-Bullpen",R32="High Bullpen"),3,4))))=IF(IF(C32&lt;=5,IFERROR(INDEX(Reference!$B$73:$B$78,MATCH(C32,Reference!$A$73:$A$78,0)),"Low"),IFERROR(INDEX(Reference!$B$84:$B$86,MATCH(MOD(C32-6,3),Reference!$A$84:$A$86,0)),"Low"))="No Throw",0,IF(IF(C32&lt;=5,IFERROR(INDEX(Reference!$B$73:$B$78,MATCH(C32,Reference!$A$73:$A$78,0)),"Low"),IFERROR(INDEX(Reference!$B$84:$B$86,MATCH(MOD(C32-6,3),Reference!$A$84:$A$86,0)),"Low"))="Low",1,IF(IF(C32&lt;=5,IFERROR(INDEX(Reference!$B$73:$B$78,MATCH(C32,Reference!$A$73:$A$78,0)),"Low"),IFERROR(INDEX(Reference!$B$84:$B$86,MATCH(MOD(C32-6,3),Reference!$A$84:$A$86,0)),"Low"))="Medium",2,IF(OR(IF(C32&lt;=5,IFERROR(INDEX(Reference!$B$73:$B$78,MATCH(C32,Reference!$A$73:$A$78,0)),"Low"),IFERROR(INDEX(Reference!$B$84:$B$86,MATCH(MOD(C32-6,3),Reference!$A$84:$A$86,0)),"Low"))="High Non-Bullpen",IF(C32&lt;=5,IFERROR(INDEX(Reference!$B$73:$B$78,MATCH(C32,Reference!$A$73:$A$78,0)),"Low"),IFERROR(INDEX(Reference!$B$84:$B$86,MATCH(MOD(C32-6,3),Reference!$A$84:$A$86,0)),"Low"))="High Bullpen"),3,4)))),0,IF(IF(R32="No Throw",0,IF(R32="Low",1,IF(R32="Medium",2,IF(OR(R32="High Non-Bullpen",R32="High Bullpen"),3,4))))&gt;IF(IF(C32&lt;=5,IFERROR(INDEX(Reference!$B$73:$B$78,MATCH(C32,Reference!$A$73:$A$78,0)),"Low"),IFERROR(INDEX(Reference!$B$84:$B$86,MATCH(MOD(C32-6,3),Reference!$A$84:$A$86,0)),"Low"))="No Throw",0,IF(IF(C32&lt;=5,IFERROR(INDEX(Reference!$B$73:$B$78,MATCH(C32,Reference!$A$73:$A$78,0)),"Low"),IFERROR(INDEX(Reference!$B$84:$B$86,MATCH(MOD(C32-6,3),Reference!$A$84:$A$86,0)),"Low"))="Low",1,IF(IF(C32&lt;=5,IFERROR(INDEX(Reference!$B$73:$B$78,MATCH(C32,Reference!$A$73:$A$78,0)),"Low"),IFERROR(INDEX(Reference!$B$84:$B$86,MATCH(MOD(C32-6,3),Reference!$A$84:$A$86,0)),"Low"))="Medium",2,IF(OR(IF(C32&lt;=5,IFERROR(INDEX(Reference!$B$73:$B$78,MATCH(C32,Reference!$A$73:$A$78,0)),"Low"),IFERROR(INDEX(Reference!$B$84:$B$86,MATCH(MOD(C32-6,3),Reference!$A$84:$A$86,0)),"Low"))="High Non-Bullpen",IF(C32&lt;=5,IFERROR(INDEX(Reference!$B$73:$B$78,MATCH(C32,Reference!$A$73:$A$78,0)),"Low"),IFERROR(INDEX(Reference!$B$84:$B$86,MATCH(MOD(C32-6,3),Reference!$A$84:$A$86,0)),"Low"))="High Bullpen"),3,4)))),-1,1))))</f>
        <v>-1</v>
      </c>
      <c r="N33" s="17">
        <f t="shared" ca="1" si="7"/>
        <v>0</v>
      </c>
      <c r="O33" s="17">
        <f t="shared" ca="1" si="8"/>
        <v>-1</v>
      </c>
      <c r="P33" s="17">
        <f t="shared" ca="1" si="9"/>
        <v>-1</v>
      </c>
      <c r="Q33" s="17">
        <f t="shared" ca="1" si="10"/>
        <v>2</v>
      </c>
      <c r="R33" s="17" t="str">
        <f t="shared" ca="1" si="11"/>
        <v>Medium</v>
      </c>
      <c r="S33" s="1" t="str">
        <f ca="1">IF(R33="","",IF(R33="No Throw","Full rest — no throwing today.",IF(R33="Low",CONCATENATE(IF('Day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mph"),IF(R33="Medium",CONCATENATE(IF('Day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mph"),IF(R33="High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mph"),IF(R33="High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mph"),IF(R33="Low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120 ft — 40-50 throws @ 79-81 mph  +  60 ft — 15-20 throws @ 81-83 mph</v>
      </c>
      <c r="T33" s="2"/>
    </row>
    <row r="34" spans="1:20" ht="39" customHeight="1" x14ac:dyDescent="0.3">
      <c r="A34" s="19">
        <f ca="1">IF($B$7+7&lt;$B$6,$B$7+7,"")</f>
        <v>46302</v>
      </c>
      <c r="B34" s="17" t="str">
        <f t="shared" ca="1" si="0"/>
        <v>Wed</v>
      </c>
      <c r="C34" s="17">
        <f t="shared" ca="1" si="1"/>
        <v>2</v>
      </c>
      <c r="D34" s="17" t="str">
        <f ca="1">IF(A34="","",IF(AND(T34&lt;&gt;"",T34&lt;&gt;"(none)"),T34,IF(C34&lt;=5,IFERROR(INDEX(Reference!$B$73:$B$78,MATCH(C34,Reference!$A$73:$A$78,0)),"Low"),IFERROR(INDEX(Reference!$B$84:$B$86,MATCH(MOD(C34-6,3),Reference!$A$84:$A$86,0)),"Low"))))</f>
        <v>Medium</v>
      </c>
      <c r="E34" s="17">
        <f t="shared" ca="1" si="2"/>
        <v>2</v>
      </c>
      <c r="F34" s="27">
        <f t="shared" ca="1" si="3"/>
        <v>46301</v>
      </c>
      <c r="G34" s="17">
        <f t="shared" ca="1" si="4"/>
        <v>3</v>
      </c>
      <c r="H34" s="17" t="str">
        <f t="shared" ca="1" si="12"/>
        <v>Medium</v>
      </c>
      <c r="I34" s="15">
        <f ca="1">IF(H34="","",IFERROR(INDEX('Day Type Templates'!$B$55:$B$60,MATCH(H34,'Day Type Templates'!$A$55:$A$60,0)),""))</f>
        <v>87.25</v>
      </c>
      <c r="J34" s="15">
        <f ca="1">IF(F34="","",SUMIFS('Throw Log'!$Q$5:$Q$300,'Throw Log'!$B$5:$B$300,$B$4,'Throw Log'!$A$5:$A$300,F34))</f>
        <v>0</v>
      </c>
      <c r="K34" s="28">
        <f t="shared" ca="1" si="5"/>
        <v>1</v>
      </c>
      <c r="L34" s="17">
        <f t="shared" ca="1" si="6"/>
        <v>0</v>
      </c>
      <c r="M34" s="17">
        <f ca="1">IF(A34="","",IF(R33="","",IF(IF(R33="No Throw",0,IF(R33="Low",1,IF(OR(R33="Medium",R33="Low Bullpen"),2,IF(OR(R33="High Non-Bullpen",R33="High Bullpen"),3,4))))=IF(IF(C33&lt;=5,IFERROR(INDEX(Reference!$B$73:$B$78,MATCH(C33,Reference!$A$73:$A$78,0)),"Low"),IFERROR(INDEX(Reference!$B$84:$B$86,MATCH(MOD(C33-6,3),Reference!$A$84:$A$86,0)),"Low"))="No Throw",0,IF(IF(C33&lt;=5,IFERROR(INDEX(Reference!$B$73:$B$78,MATCH(C33,Reference!$A$73:$A$78,0)),"Low"),IFERROR(INDEX(Reference!$B$84:$B$86,MATCH(MOD(C33-6,3),Reference!$A$84:$A$86,0)),"Low"))="Low",1,IF(IF(C33&lt;=5,IFERROR(INDEX(Reference!$B$73:$B$78,MATCH(C33,Reference!$A$73:$A$78,0)),"Low"),IFERROR(INDEX(Reference!$B$84:$B$86,MATCH(MOD(C33-6,3),Reference!$A$84:$A$86,0)),"Low"))="Medium",2,IF(OR(IF(C33&lt;=5,IFERROR(INDEX(Reference!$B$73:$B$78,MATCH(C33,Reference!$A$73:$A$78,0)),"Low"),IFERROR(INDEX(Reference!$B$84:$B$86,MATCH(MOD(C33-6,3),Reference!$A$84:$A$86,0)),"Low"))="High Non-Bullpen",IF(C33&lt;=5,IFERROR(INDEX(Reference!$B$73:$B$78,MATCH(C33,Reference!$A$73:$A$78,0)),"Low"),IFERROR(INDEX(Reference!$B$84:$B$86,MATCH(MOD(C33-6,3),Reference!$A$84:$A$86,0)),"Low"))="High Bullpen"),3,4)))),0,IF(IF(R33="No Throw",0,IF(R33="Low",1,IF(R33="Medium",2,IF(OR(R33="High Non-Bullpen",R33="High Bullpen"),3,4))))&gt;IF(IF(C33&lt;=5,IFERROR(INDEX(Reference!$B$73:$B$78,MATCH(C33,Reference!$A$73:$A$78,0)),"Low"),IFERROR(INDEX(Reference!$B$84:$B$86,MATCH(MOD(C33-6,3),Reference!$A$84:$A$86,0)),"Low"))="No Throw",0,IF(IF(C33&lt;=5,IFERROR(INDEX(Reference!$B$73:$B$78,MATCH(C33,Reference!$A$73:$A$78,0)),"Low"),IFERROR(INDEX(Reference!$B$84:$B$86,MATCH(MOD(C33-6,3),Reference!$A$84:$A$86,0)),"Low"))="Low",1,IF(IF(C33&lt;=5,IFERROR(INDEX(Reference!$B$73:$B$78,MATCH(C33,Reference!$A$73:$A$78,0)),"Low"),IFERROR(INDEX(Reference!$B$84:$B$86,MATCH(MOD(C33-6,3),Reference!$A$84:$A$86,0)),"Low"))="Medium",2,IF(OR(IF(C33&lt;=5,IFERROR(INDEX(Reference!$B$73:$B$78,MATCH(C33,Reference!$A$73:$A$78,0)),"Low"),IFERROR(INDEX(Reference!$B$84:$B$86,MATCH(MOD(C33-6,3),Reference!$A$84:$A$86,0)),"Low"))="High Non-Bullpen",IF(C33&lt;=5,IFERROR(INDEX(Reference!$B$73:$B$78,MATCH(C33,Reference!$A$73:$A$78,0)),"Low"),IFERROR(INDEX(Reference!$B$84:$B$86,MATCH(MOD(C33-6,3),Reference!$A$84:$A$86,0)),"Low"))="High Bullpen"),3,4)))),-1,1))))</f>
        <v>1</v>
      </c>
      <c r="N34" s="17">
        <f t="shared" ca="1" si="7"/>
        <v>0</v>
      </c>
      <c r="O34" s="17">
        <f t="shared" ca="1" si="8"/>
        <v>1</v>
      </c>
      <c r="P34" s="17">
        <f t="shared" ca="1" si="9"/>
        <v>1</v>
      </c>
      <c r="Q34" s="17">
        <f t="shared" ca="1" si="10"/>
        <v>3</v>
      </c>
      <c r="R34" s="17" t="str">
        <f t="shared" ca="1" si="11"/>
        <v>High Non-Bullpen</v>
      </c>
      <c r="S34" s="1" t="str">
        <f ca="1">IF(R34="","",IF(R34="No Throw","Full rest — no throwing today.",IF(R34="Low",CONCATENATE(IF('Day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mph"),IF(R34="Medium",CONCATENATE(IF('Day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mph"),IF(R34="High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mph"),IF(R34="High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mph"),IF(R34="Low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150 ft — 30-40 throws @ 79-81 mph  +  120 ft — 20-30 throws @ 85-88 mph  +  60 ft — 15-20 throws @ 82-84 mph</v>
      </c>
      <c r="T34" s="2"/>
    </row>
    <row r="35" spans="1:20" ht="39" customHeight="1" x14ac:dyDescent="0.3">
      <c r="A35" s="19">
        <f ca="1">IF($B$7+8&lt;$B$6,$B$7+8,"")</f>
        <v>46303</v>
      </c>
      <c r="B35" s="17" t="str">
        <f t="shared" ca="1" si="0"/>
        <v>Thu</v>
      </c>
      <c r="C35" s="17">
        <f t="shared" ca="1" si="1"/>
        <v>1</v>
      </c>
      <c r="D35" s="17" t="str">
        <f ca="1">IF(A35="","",IF(AND(T35&lt;&gt;"",T35&lt;&gt;"(none)"),T35,IF(C35&lt;=5,IFERROR(INDEX(Reference!$B$73:$B$78,MATCH(C35,Reference!$A$73:$A$78,0)),"Low"),IFERROR(INDEX(Reference!$B$84:$B$86,MATCH(MOD(C35-6,3),Reference!$A$84:$A$86,0)),"Low"))))</f>
        <v>Low</v>
      </c>
      <c r="E35" s="17">
        <f t="shared" ca="1" si="2"/>
        <v>1</v>
      </c>
      <c r="F35" s="27">
        <f t="shared" ca="1" si="3"/>
        <v>46302</v>
      </c>
      <c r="G35" s="17">
        <f t="shared" ca="1" si="4"/>
        <v>2</v>
      </c>
      <c r="H35" s="17" t="str">
        <f t="shared" ca="1" si="12"/>
        <v>High Non-Bullpen</v>
      </c>
      <c r="I35" s="15">
        <f ca="1">IF(H35="","",IFERROR(INDEX('Day Type Templates'!$B$55:$B$60,MATCH(H35,'Day Type Templates'!$A$55:$A$60,0)),""))</f>
        <v>193</v>
      </c>
      <c r="J35" s="15">
        <f ca="1">IF(F35="","",SUMIFS('Throw Log'!$Q$5:$Q$300,'Throw Log'!$B$5:$B$300,$B$4,'Throw Log'!$A$5:$A$300,F35))</f>
        <v>0</v>
      </c>
      <c r="K35" s="28">
        <f t="shared" ca="1" si="5"/>
        <v>1</v>
      </c>
      <c r="L35" s="17">
        <f t="shared" ca="1" si="6"/>
        <v>0</v>
      </c>
      <c r="M35" s="17">
        <f ca="1">IF(A35="","",IF(R34="","",IF(IF(R34="No Throw",0,IF(R34="Low",1,IF(OR(R34="Medium",R34="Low Bullpen"),2,IF(OR(R34="High Non-Bullpen",R34="High Bullpen"),3,4))))=IF(IF(C34&lt;=5,IFERROR(INDEX(Reference!$B$73:$B$78,MATCH(C34,Reference!$A$73:$A$78,0)),"Low"),IFERROR(INDEX(Reference!$B$84:$B$86,MATCH(MOD(C34-6,3),Reference!$A$84:$A$86,0)),"Low"))="No Throw",0,IF(IF(C34&lt;=5,IFERROR(INDEX(Reference!$B$73:$B$78,MATCH(C34,Reference!$A$73:$A$78,0)),"Low"),IFERROR(INDEX(Reference!$B$84:$B$86,MATCH(MOD(C34-6,3),Reference!$A$84:$A$86,0)),"Low"))="Low",1,IF(IF(C34&lt;=5,IFERROR(INDEX(Reference!$B$73:$B$78,MATCH(C34,Reference!$A$73:$A$78,0)),"Low"),IFERROR(INDEX(Reference!$B$84:$B$86,MATCH(MOD(C34-6,3),Reference!$A$84:$A$86,0)),"Low"))="Medium",2,IF(OR(IF(C34&lt;=5,IFERROR(INDEX(Reference!$B$73:$B$78,MATCH(C34,Reference!$A$73:$A$78,0)),"Low"),IFERROR(INDEX(Reference!$B$84:$B$86,MATCH(MOD(C34-6,3),Reference!$A$84:$A$86,0)),"Low"))="High Non-Bullpen",IF(C34&lt;=5,IFERROR(INDEX(Reference!$B$73:$B$78,MATCH(C34,Reference!$A$73:$A$78,0)),"Low"),IFERROR(INDEX(Reference!$B$84:$B$86,MATCH(MOD(C34-6,3),Reference!$A$84:$A$86,0)),"Low"))="High Bullpen"),3,4)))),0,IF(IF(R34="No Throw",0,IF(R34="Low",1,IF(R34="Medium",2,IF(OR(R34="High Non-Bullpen",R34="High Bullpen"),3,4))))&gt;IF(IF(C34&lt;=5,IFERROR(INDEX(Reference!$B$73:$B$78,MATCH(C34,Reference!$A$73:$A$78,0)),"Low"),IFERROR(INDEX(Reference!$B$84:$B$86,MATCH(MOD(C34-6,3),Reference!$A$84:$A$86,0)),"Low"))="No Throw",0,IF(IF(C34&lt;=5,IFERROR(INDEX(Reference!$B$73:$B$78,MATCH(C34,Reference!$A$73:$A$78,0)),"Low"),IFERROR(INDEX(Reference!$B$84:$B$86,MATCH(MOD(C34-6,3),Reference!$A$84:$A$86,0)),"Low"))="Low",1,IF(IF(C34&lt;=5,IFERROR(INDEX(Reference!$B$73:$B$78,MATCH(C34,Reference!$A$73:$A$78,0)),"Low"),IFERROR(INDEX(Reference!$B$84:$B$86,MATCH(MOD(C34-6,3),Reference!$A$84:$A$86,0)),"Low"))="Medium",2,IF(OR(IF(C34&lt;=5,IFERROR(INDEX(Reference!$B$73:$B$78,MATCH(C34,Reference!$A$73:$A$78,0)),"Low"),IFERROR(INDEX(Reference!$B$84:$B$86,MATCH(MOD(C34-6,3),Reference!$A$84:$A$86,0)),"Low"))="High Non-Bullpen",IF(C34&lt;=5,IFERROR(INDEX(Reference!$B$73:$B$78,MATCH(C34,Reference!$A$73:$A$78,0)),"Low"),IFERROR(INDEX(Reference!$B$84:$B$86,MATCH(MOD(C34-6,3),Reference!$A$84:$A$86,0)),"Low"))="High Bullpen"),3,4)))),-1,1))))</f>
        <v>-1</v>
      </c>
      <c r="N35" s="17">
        <f t="shared" ca="1" si="7"/>
        <v>0</v>
      </c>
      <c r="O35" s="17">
        <f t="shared" ca="1" si="8"/>
        <v>-1</v>
      </c>
      <c r="P35" s="17">
        <f t="shared" ca="1" si="9"/>
        <v>-1</v>
      </c>
      <c r="Q35" s="17">
        <f t="shared" ca="1" si="10"/>
        <v>1</v>
      </c>
      <c r="R35" s="17" t="str">
        <f t="shared" ca="1" si="11"/>
        <v>Low</v>
      </c>
      <c r="S35" s="1" t="str">
        <f ca="1">IF(R35="","",IF(R35="No Throw","Full rest — no throwing today.",IF(R35="Low",CONCATENATE(IF('Day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mph"),IF(R35="Medium",CONCATENATE(IF('Day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mph"),IF(R35="High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mph"),IF(R35="High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mph"),IF(R35="Low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90 ft — 45-55 throws @ 70-74 mph  +  60 ft — 15-25 throws @ 74-76 mph</v>
      </c>
      <c r="T35" s="2"/>
    </row>
    <row r="36" spans="1:20" x14ac:dyDescent="0.3">
      <c r="A36" s="19" t="str">
        <f ca="1">IF($B$7+9&lt;$B$6,$B$7+9,"")</f>
        <v/>
      </c>
      <c r="B36" s="17" t="str">
        <f t="shared" ca="1" si="0"/>
        <v/>
      </c>
      <c r="C36" s="17" t="str">
        <f t="shared" ca="1" si="1"/>
        <v/>
      </c>
      <c r="D36" s="17" t="str">
        <f ca="1">IF(A36="","",IF(AND(T36&lt;&gt;"",T36&lt;&gt;"(none)"),T36,IF(C36&lt;=5,IFERROR(INDEX(Reference!$B$73:$B$78,MATCH(C36,Reference!$A$73:$A$78,0)),"Low"),IFERROR(INDEX(Reference!$B$84:$B$86,MATCH(MOD(C36-6,3),Reference!$A$84:$A$86,0)),"Low"))))</f>
        <v/>
      </c>
      <c r="E36" s="17" t="str">
        <f t="shared" ca="1" si="2"/>
        <v/>
      </c>
      <c r="F36" s="27" t="str">
        <f t="shared" ca="1" si="3"/>
        <v/>
      </c>
      <c r="G36" s="17" t="str">
        <f t="shared" ca="1" si="4"/>
        <v/>
      </c>
      <c r="H36" s="17" t="str">
        <f t="shared" ca="1" si="12"/>
        <v/>
      </c>
      <c r="I36" s="15" t="str">
        <f ca="1">IF(H36="","",IFERROR(INDEX('Day Type Templates'!$B$55:$B$60,MATCH(H36,'Day Type Templates'!$A$55:$A$60,0)),""))</f>
        <v/>
      </c>
      <c r="J36" s="15" t="str">
        <f ca="1">IF(F36="","",SUMIFS('Throw Log'!$Q$5:$Q$300,'Throw Log'!$B$5:$B$300,$B$4,'Throw Log'!$A$5:$A$300,F36))</f>
        <v/>
      </c>
      <c r="K36" s="28">
        <f t="shared" ca="1" si="5"/>
        <v>1</v>
      </c>
      <c r="L36" s="17">
        <f t="shared" ca="1" si="6"/>
        <v>0</v>
      </c>
      <c r="M36" s="17" t="str">
        <f ca="1">IF(A36="","",IF(R35="","",IF(IF(R35="No Throw",0,IF(R35="Low",1,IF(OR(R35="Medium",R35="Low Bullpen"),2,IF(OR(R35="High Non-Bullpen",R35="High Bullpen"),3,4))))=IF(IF(C35&lt;=5,IFERROR(INDEX(Reference!$B$73:$B$78,MATCH(C35,Reference!$A$73:$A$78,0)),"Low"),IFERROR(INDEX(Reference!$B$84:$B$86,MATCH(MOD(C35-6,3),Reference!$A$84:$A$86,0)),"Low"))="No Throw",0,IF(IF(C35&lt;=5,IFERROR(INDEX(Reference!$B$73:$B$78,MATCH(C35,Reference!$A$73:$A$78,0)),"Low"),IFERROR(INDEX(Reference!$B$84:$B$86,MATCH(MOD(C35-6,3),Reference!$A$84:$A$86,0)),"Low"))="Low",1,IF(IF(C35&lt;=5,IFERROR(INDEX(Reference!$B$73:$B$78,MATCH(C35,Reference!$A$73:$A$78,0)),"Low"),IFERROR(INDEX(Reference!$B$84:$B$86,MATCH(MOD(C35-6,3),Reference!$A$84:$A$86,0)),"Low"))="Medium",2,IF(OR(IF(C35&lt;=5,IFERROR(INDEX(Reference!$B$73:$B$78,MATCH(C35,Reference!$A$73:$A$78,0)),"Low"),IFERROR(INDEX(Reference!$B$84:$B$86,MATCH(MOD(C35-6,3),Reference!$A$84:$A$86,0)),"Low"))="High Non-Bullpen",IF(C35&lt;=5,IFERROR(INDEX(Reference!$B$73:$B$78,MATCH(C35,Reference!$A$73:$A$78,0)),"Low"),IFERROR(INDEX(Reference!$B$84:$B$86,MATCH(MOD(C35-6,3),Reference!$A$84:$A$86,0)),"Low"))="High Bullpen"),3,4)))),0,IF(IF(R35="No Throw",0,IF(R35="Low",1,IF(R35="Medium",2,IF(OR(R35="High Non-Bullpen",R35="High Bullpen"),3,4))))&gt;IF(IF(C35&lt;=5,IFERROR(INDEX(Reference!$B$73:$B$78,MATCH(C35,Reference!$A$73:$A$78,0)),"Low"),IFERROR(INDEX(Reference!$B$84:$B$86,MATCH(MOD(C35-6,3),Reference!$A$84:$A$86,0)),"Low"))="No Throw",0,IF(IF(C35&lt;=5,IFERROR(INDEX(Reference!$B$73:$B$78,MATCH(C35,Reference!$A$73:$A$78,0)),"Low"),IFERROR(INDEX(Reference!$B$84:$B$86,MATCH(MOD(C35-6,3),Reference!$A$84:$A$86,0)),"Low"))="Low",1,IF(IF(C35&lt;=5,IFERROR(INDEX(Reference!$B$73:$B$78,MATCH(C35,Reference!$A$73:$A$78,0)),"Low"),IFERROR(INDEX(Reference!$B$84:$B$86,MATCH(MOD(C35-6,3),Reference!$A$84:$A$86,0)),"Low"))="Medium",2,IF(OR(IF(C35&lt;=5,IFERROR(INDEX(Reference!$B$73:$B$78,MATCH(C35,Reference!$A$73:$A$78,0)),"Low"),IFERROR(INDEX(Reference!$B$84:$B$86,MATCH(MOD(C35-6,3),Reference!$A$84:$A$86,0)),"Low"))="High Non-Bullpen",IF(C35&lt;=5,IFERROR(INDEX(Reference!$B$73:$B$78,MATCH(C35,Reference!$A$73:$A$78,0)),"Low"),IFERROR(INDEX(Reference!$B$84:$B$86,MATCH(MOD(C35-6,3),Reference!$A$84:$A$86,0)),"Low"))="High Bullpen"),3,4)))),-1,1))))</f>
        <v/>
      </c>
      <c r="N36" s="17">
        <f t="shared" ca="1" si="7"/>
        <v>0</v>
      </c>
      <c r="O36" s="17" t="str">
        <f t="shared" ca="1" si="8"/>
        <v/>
      </c>
      <c r="P36" s="17" t="str">
        <f t="shared" ca="1" si="9"/>
        <v/>
      </c>
      <c r="Q36" s="17" t="str">
        <f t="shared" ca="1" si="10"/>
        <v/>
      </c>
      <c r="R36" s="17" t="str">
        <f t="shared" ca="1" si="11"/>
        <v/>
      </c>
      <c r="S36" s="1" t="str">
        <f ca="1">IF(R36="","",IF(R36="No Throw","Full rest — no throwing today.",IF(R36="Low",CONCATENATE(IF('Day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mph"),IF(R36="Medium",CONCATENATE(IF('Day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mph"),IF(R36="High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mph"),IF(R36="High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mph"),IF(R36="Low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36" s="2"/>
    </row>
    <row r="37" spans="1:20" x14ac:dyDescent="0.3">
      <c r="A37" s="19" t="str">
        <f ca="1">IF($B$7+10&lt;$B$6,$B$7+10,"")</f>
        <v/>
      </c>
      <c r="B37" s="17" t="str">
        <f t="shared" ca="1" si="0"/>
        <v/>
      </c>
      <c r="C37" s="17" t="str">
        <f t="shared" ca="1" si="1"/>
        <v/>
      </c>
      <c r="D37" s="17" t="str">
        <f ca="1">IF(A37="","",IF(AND(T37&lt;&gt;"",T37&lt;&gt;"(none)"),T37,IF(C37&lt;=5,IFERROR(INDEX(Reference!$B$73:$B$78,MATCH(C37,Reference!$A$73:$A$78,0)),"Low"),IFERROR(INDEX(Reference!$B$84:$B$86,MATCH(MOD(C37-6,3),Reference!$A$84:$A$86,0)),"Low"))))</f>
        <v/>
      </c>
      <c r="E37" s="17" t="str">
        <f t="shared" ca="1" si="2"/>
        <v/>
      </c>
      <c r="F37" s="27" t="str">
        <f t="shared" ca="1" si="3"/>
        <v/>
      </c>
      <c r="G37" s="17" t="str">
        <f t="shared" ca="1" si="4"/>
        <v/>
      </c>
      <c r="H37" s="17" t="str">
        <f t="shared" ca="1" si="12"/>
        <v/>
      </c>
      <c r="I37" s="15" t="str">
        <f ca="1">IF(H37="","",IFERROR(INDEX('Day Type Templates'!$B$55:$B$60,MATCH(H37,'Day Type Templates'!$A$55:$A$60,0)),""))</f>
        <v/>
      </c>
      <c r="J37" s="15" t="str">
        <f ca="1">IF(F37="","",SUMIFS('Throw Log'!$Q$5:$Q$300,'Throw Log'!$B$5:$B$300,$B$4,'Throw Log'!$A$5:$A$300,F37))</f>
        <v/>
      </c>
      <c r="K37" s="28">
        <f t="shared" ca="1" si="5"/>
        <v>1</v>
      </c>
      <c r="L37" s="17">
        <f t="shared" ca="1" si="6"/>
        <v>0</v>
      </c>
      <c r="M37" s="17" t="str">
        <f ca="1">IF(A37="","",IF(R36="","",IF(IF(R36="No Throw",0,IF(R36="Low",1,IF(OR(R36="Medium",R36="Low Bullpen"),2,IF(OR(R36="High Non-Bullpen",R36="High Bullpen"),3,4))))=IF(IF(C36&lt;=5,IFERROR(INDEX(Reference!$B$73:$B$78,MATCH(C36,Reference!$A$73:$A$78,0)),"Low"),IFERROR(INDEX(Reference!$B$84:$B$86,MATCH(MOD(C36-6,3),Reference!$A$84:$A$86,0)),"Low"))="No Throw",0,IF(IF(C36&lt;=5,IFERROR(INDEX(Reference!$B$73:$B$78,MATCH(C36,Reference!$A$73:$A$78,0)),"Low"),IFERROR(INDEX(Reference!$B$84:$B$86,MATCH(MOD(C36-6,3),Reference!$A$84:$A$86,0)),"Low"))="Low",1,IF(IF(C36&lt;=5,IFERROR(INDEX(Reference!$B$73:$B$78,MATCH(C36,Reference!$A$73:$A$78,0)),"Low"),IFERROR(INDEX(Reference!$B$84:$B$86,MATCH(MOD(C36-6,3),Reference!$A$84:$A$86,0)),"Low"))="Medium",2,IF(OR(IF(C36&lt;=5,IFERROR(INDEX(Reference!$B$73:$B$78,MATCH(C36,Reference!$A$73:$A$78,0)),"Low"),IFERROR(INDEX(Reference!$B$84:$B$86,MATCH(MOD(C36-6,3),Reference!$A$84:$A$86,0)),"Low"))="High Non-Bullpen",IF(C36&lt;=5,IFERROR(INDEX(Reference!$B$73:$B$78,MATCH(C36,Reference!$A$73:$A$78,0)),"Low"),IFERROR(INDEX(Reference!$B$84:$B$86,MATCH(MOD(C36-6,3),Reference!$A$84:$A$86,0)),"Low"))="High Bullpen"),3,4)))),0,IF(IF(R36="No Throw",0,IF(R36="Low",1,IF(R36="Medium",2,IF(OR(R36="High Non-Bullpen",R36="High Bullpen"),3,4))))&gt;IF(IF(C36&lt;=5,IFERROR(INDEX(Reference!$B$73:$B$78,MATCH(C36,Reference!$A$73:$A$78,0)),"Low"),IFERROR(INDEX(Reference!$B$84:$B$86,MATCH(MOD(C36-6,3),Reference!$A$84:$A$86,0)),"Low"))="No Throw",0,IF(IF(C36&lt;=5,IFERROR(INDEX(Reference!$B$73:$B$78,MATCH(C36,Reference!$A$73:$A$78,0)),"Low"),IFERROR(INDEX(Reference!$B$84:$B$86,MATCH(MOD(C36-6,3),Reference!$A$84:$A$86,0)),"Low"))="Low",1,IF(IF(C36&lt;=5,IFERROR(INDEX(Reference!$B$73:$B$78,MATCH(C36,Reference!$A$73:$A$78,0)),"Low"),IFERROR(INDEX(Reference!$B$84:$B$86,MATCH(MOD(C36-6,3),Reference!$A$84:$A$86,0)),"Low"))="Medium",2,IF(OR(IF(C36&lt;=5,IFERROR(INDEX(Reference!$B$73:$B$78,MATCH(C36,Reference!$A$73:$A$78,0)),"Low"),IFERROR(INDEX(Reference!$B$84:$B$86,MATCH(MOD(C36-6,3),Reference!$A$84:$A$86,0)),"Low"))="High Non-Bullpen",IF(C36&lt;=5,IFERROR(INDEX(Reference!$B$73:$B$78,MATCH(C36,Reference!$A$73:$A$78,0)),"Low"),IFERROR(INDEX(Reference!$B$84:$B$86,MATCH(MOD(C36-6,3),Reference!$A$84:$A$86,0)),"Low"))="High Bullpen"),3,4)))),-1,1))))</f>
        <v/>
      </c>
      <c r="N37" s="17">
        <f t="shared" ca="1" si="7"/>
        <v>0</v>
      </c>
      <c r="O37" s="17" t="str">
        <f t="shared" ca="1" si="8"/>
        <v/>
      </c>
      <c r="P37" s="17" t="str">
        <f t="shared" ca="1" si="9"/>
        <v/>
      </c>
      <c r="Q37" s="17" t="str">
        <f t="shared" ca="1" si="10"/>
        <v/>
      </c>
      <c r="R37" s="17" t="str">
        <f t="shared" ca="1" si="11"/>
        <v/>
      </c>
      <c r="S37" s="1" t="str">
        <f ca="1">IF(R37="","",IF(R37="No Throw","Full rest — no throwing today.",IF(R37="Low",CONCATENATE(IF('Day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mph"),IF(R37="Medium",CONCATENATE(IF('Day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mph"),IF(R37="High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mph"),IF(R37="High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mph"),IF(R37="Low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37" s="2"/>
    </row>
    <row r="38" spans="1:20" x14ac:dyDescent="0.3">
      <c r="A38" s="19" t="str">
        <f ca="1">IF($B$7+11&lt;$B$6,$B$7+11,"")</f>
        <v/>
      </c>
      <c r="B38" s="17" t="str">
        <f t="shared" ca="1" si="0"/>
        <v/>
      </c>
      <c r="C38" s="17" t="str">
        <f t="shared" ca="1" si="1"/>
        <v/>
      </c>
      <c r="D38" s="17" t="str">
        <f ca="1">IF(A38="","",IF(AND(T38&lt;&gt;"",T38&lt;&gt;"(none)"),T38,IF(C38&lt;=5,IFERROR(INDEX(Reference!$B$73:$B$78,MATCH(C38,Reference!$A$73:$A$78,0)),"Low"),IFERROR(INDEX(Reference!$B$84:$B$86,MATCH(MOD(C38-6,3),Reference!$A$84:$A$86,0)),"Low"))))</f>
        <v/>
      </c>
      <c r="E38" s="17" t="str">
        <f t="shared" ca="1" si="2"/>
        <v/>
      </c>
      <c r="F38" s="27" t="str">
        <f t="shared" ca="1" si="3"/>
        <v/>
      </c>
      <c r="G38" s="17" t="str">
        <f t="shared" ca="1" si="4"/>
        <v/>
      </c>
      <c r="H38" s="17" t="str">
        <f t="shared" ca="1" si="12"/>
        <v/>
      </c>
      <c r="I38" s="15" t="str">
        <f ca="1">IF(H38="","",IFERROR(INDEX('Day Type Templates'!$B$55:$B$60,MATCH(H38,'Day Type Templates'!$A$55:$A$60,0)),""))</f>
        <v/>
      </c>
      <c r="J38" s="15" t="str">
        <f ca="1">IF(F38="","",SUMIFS('Throw Log'!$Q$5:$Q$300,'Throw Log'!$B$5:$B$300,$B$4,'Throw Log'!$A$5:$A$300,F38))</f>
        <v/>
      </c>
      <c r="K38" s="28">
        <f t="shared" ca="1" si="5"/>
        <v>1</v>
      </c>
      <c r="L38" s="17">
        <f t="shared" ca="1" si="6"/>
        <v>0</v>
      </c>
      <c r="M38" s="17" t="str">
        <f ca="1">IF(A38="","",IF(R37="","",IF(IF(R37="No Throw",0,IF(R37="Low",1,IF(OR(R37="Medium",R37="Low Bullpen"),2,IF(OR(R37="High Non-Bullpen",R37="High Bullpen"),3,4))))=IF(IF(C37&lt;=5,IFERROR(INDEX(Reference!$B$73:$B$78,MATCH(C37,Reference!$A$73:$A$78,0)),"Low"),IFERROR(INDEX(Reference!$B$84:$B$86,MATCH(MOD(C37-6,3),Reference!$A$84:$A$86,0)),"Low"))="No Throw",0,IF(IF(C37&lt;=5,IFERROR(INDEX(Reference!$B$73:$B$78,MATCH(C37,Reference!$A$73:$A$78,0)),"Low"),IFERROR(INDEX(Reference!$B$84:$B$86,MATCH(MOD(C37-6,3),Reference!$A$84:$A$86,0)),"Low"))="Low",1,IF(IF(C37&lt;=5,IFERROR(INDEX(Reference!$B$73:$B$78,MATCH(C37,Reference!$A$73:$A$78,0)),"Low"),IFERROR(INDEX(Reference!$B$84:$B$86,MATCH(MOD(C37-6,3),Reference!$A$84:$A$86,0)),"Low"))="Medium",2,IF(OR(IF(C37&lt;=5,IFERROR(INDEX(Reference!$B$73:$B$78,MATCH(C37,Reference!$A$73:$A$78,0)),"Low"),IFERROR(INDEX(Reference!$B$84:$B$86,MATCH(MOD(C37-6,3),Reference!$A$84:$A$86,0)),"Low"))="High Non-Bullpen",IF(C37&lt;=5,IFERROR(INDEX(Reference!$B$73:$B$78,MATCH(C37,Reference!$A$73:$A$78,0)),"Low"),IFERROR(INDEX(Reference!$B$84:$B$86,MATCH(MOD(C37-6,3),Reference!$A$84:$A$86,0)),"Low"))="High Bullpen"),3,4)))),0,IF(IF(R37="No Throw",0,IF(R37="Low",1,IF(R37="Medium",2,IF(OR(R37="High Non-Bullpen",R37="High Bullpen"),3,4))))&gt;IF(IF(C37&lt;=5,IFERROR(INDEX(Reference!$B$73:$B$78,MATCH(C37,Reference!$A$73:$A$78,0)),"Low"),IFERROR(INDEX(Reference!$B$84:$B$86,MATCH(MOD(C37-6,3),Reference!$A$84:$A$86,0)),"Low"))="No Throw",0,IF(IF(C37&lt;=5,IFERROR(INDEX(Reference!$B$73:$B$78,MATCH(C37,Reference!$A$73:$A$78,0)),"Low"),IFERROR(INDEX(Reference!$B$84:$B$86,MATCH(MOD(C37-6,3),Reference!$A$84:$A$86,0)),"Low"))="Low",1,IF(IF(C37&lt;=5,IFERROR(INDEX(Reference!$B$73:$B$78,MATCH(C37,Reference!$A$73:$A$78,0)),"Low"),IFERROR(INDEX(Reference!$B$84:$B$86,MATCH(MOD(C37-6,3),Reference!$A$84:$A$86,0)),"Low"))="Medium",2,IF(OR(IF(C37&lt;=5,IFERROR(INDEX(Reference!$B$73:$B$78,MATCH(C37,Reference!$A$73:$A$78,0)),"Low"),IFERROR(INDEX(Reference!$B$84:$B$86,MATCH(MOD(C37-6,3),Reference!$A$84:$A$86,0)),"Low"))="High Non-Bullpen",IF(C37&lt;=5,IFERROR(INDEX(Reference!$B$73:$B$78,MATCH(C37,Reference!$A$73:$A$78,0)),"Low"),IFERROR(INDEX(Reference!$B$84:$B$86,MATCH(MOD(C37-6,3),Reference!$A$84:$A$86,0)),"Low"))="High Bullpen"),3,4)))),-1,1))))</f>
        <v/>
      </c>
      <c r="N38" s="17">
        <f t="shared" ca="1" si="7"/>
        <v>0</v>
      </c>
      <c r="O38" s="17" t="str">
        <f t="shared" ca="1" si="8"/>
        <v/>
      </c>
      <c r="P38" s="17" t="str">
        <f t="shared" ca="1" si="9"/>
        <v/>
      </c>
      <c r="Q38" s="17" t="str">
        <f t="shared" ca="1" si="10"/>
        <v/>
      </c>
      <c r="R38" s="17" t="str">
        <f t="shared" ca="1" si="11"/>
        <v/>
      </c>
      <c r="S38" s="1" t="str">
        <f ca="1">IF(R38="","",IF(R38="No Throw","Full rest — no throwing today.",IF(R38="Low",CONCATENATE(IF('Day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mph"),IF(R38="Medium",CONCATENATE(IF('Day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mph"),IF(R38="High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mph"),IF(R38="High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mph"),IF(R38="Low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38" s="2"/>
    </row>
    <row r="39" spans="1:20" x14ac:dyDescent="0.3">
      <c r="A39" s="19" t="str">
        <f ca="1">IF($B$7+12&lt;$B$6,$B$7+12,"")</f>
        <v/>
      </c>
      <c r="B39" s="17" t="str">
        <f t="shared" ca="1" si="0"/>
        <v/>
      </c>
      <c r="C39" s="17" t="str">
        <f t="shared" ca="1" si="1"/>
        <v/>
      </c>
      <c r="D39" s="17" t="str">
        <f ca="1">IF(A39="","",IF(AND(T39&lt;&gt;"",T39&lt;&gt;"(none)"),T39,IF(C39&lt;=5,IFERROR(INDEX(Reference!$B$73:$B$78,MATCH(C39,Reference!$A$73:$A$78,0)),"Low"),IFERROR(INDEX(Reference!$B$84:$B$86,MATCH(MOD(C39-6,3),Reference!$A$84:$A$86,0)),"Low"))))</f>
        <v/>
      </c>
      <c r="E39" s="17" t="str">
        <f t="shared" ca="1" si="2"/>
        <v/>
      </c>
      <c r="F39" s="27" t="str">
        <f t="shared" ca="1" si="3"/>
        <v/>
      </c>
      <c r="G39" s="17" t="str">
        <f t="shared" ca="1" si="4"/>
        <v/>
      </c>
      <c r="H39" s="17" t="str">
        <f t="shared" ca="1" si="12"/>
        <v/>
      </c>
      <c r="I39" s="15" t="str">
        <f ca="1">IF(H39="","",IFERROR(INDEX('Day Type Templates'!$B$55:$B$60,MATCH(H39,'Day Type Templates'!$A$55:$A$60,0)),""))</f>
        <v/>
      </c>
      <c r="J39" s="15" t="str">
        <f ca="1">IF(F39="","",SUMIFS('Throw Log'!$Q$5:$Q$300,'Throw Log'!$B$5:$B$300,$B$4,'Throw Log'!$A$5:$A$300,F39))</f>
        <v/>
      </c>
      <c r="K39" s="28">
        <f t="shared" ca="1" si="5"/>
        <v>1</v>
      </c>
      <c r="L39" s="17">
        <f t="shared" ca="1" si="6"/>
        <v>0</v>
      </c>
      <c r="M39" s="17" t="str">
        <f ca="1">IF(A39="","",IF(R38="","",IF(IF(R38="No Throw",0,IF(R38="Low",1,IF(OR(R38="Medium",R38="Low Bullpen"),2,IF(OR(R38="High Non-Bullpen",R38="High Bullpen"),3,4))))=IF(IF(C38&lt;=5,IFERROR(INDEX(Reference!$B$73:$B$78,MATCH(C38,Reference!$A$73:$A$78,0)),"Low"),IFERROR(INDEX(Reference!$B$84:$B$86,MATCH(MOD(C38-6,3),Reference!$A$84:$A$86,0)),"Low"))="No Throw",0,IF(IF(C38&lt;=5,IFERROR(INDEX(Reference!$B$73:$B$78,MATCH(C38,Reference!$A$73:$A$78,0)),"Low"),IFERROR(INDEX(Reference!$B$84:$B$86,MATCH(MOD(C38-6,3),Reference!$A$84:$A$86,0)),"Low"))="Low",1,IF(IF(C38&lt;=5,IFERROR(INDEX(Reference!$B$73:$B$78,MATCH(C38,Reference!$A$73:$A$78,0)),"Low"),IFERROR(INDEX(Reference!$B$84:$B$86,MATCH(MOD(C38-6,3),Reference!$A$84:$A$86,0)),"Low"))="Medium",2,IF(OR(IF(C38&lt;=5,IFERROR(INDEX(Reference!$B$73:$B$78,MATCH(C38,Reference!$A$73:$A$78,0)),"Low"),IFERROR(INDEX(Reference!$B$84:$B$86,MATCH(MOD(C38-6,3),Reference!$A$84:$A$86,0)),"Low"))="High Non-Bullpen",IF(C38&lt;=5,IFERROR(INDEX(Reference!$B$73:$B$78,MATCH(C38,Reference!$A$73:$A$78,0)),"Low"),IFERROR(INDEX(Reference!$B$84:$B$86,MATCH(MOD(C38-6,3),Reference!$A$84:$A$86,0)),"Low"))="High Bullpen"),3,4)))),0,IF(IF(R38="No Throw",0,IF(R38="Low",1,IF(R38="Medium",2,IF(OR(R38="High Non-Bullpen",R38="High Bullpen"),3,4))))&gt;IF(IF(C38&lt;=5,IFERROR(INDEX(Reference!$B$73:$B$78,MATCH(C38,Reference!$A$73:$A$78,0)),"Low"),IFERROR(INDEX(Reference!$B$84:$B$86,MATCH(MOD(C38-6,3),Reference!$A$84:$A$86,0)),"Low"))="No Throw",0,IF(IF(C38&lt;=5,IFERROR(INDEX(Reference!$B$73:$B$78,MATCH(C38,Reference!$A$73:$A$78,0)),"Low"),IFERROR(INDEX(Reference!$B$84:$B$86,MATCH(MOD(C38-6,3),Reference!$A$84:$A$86,0)),"Low"))="Low",1,IF(IF(C38&lt;=5,IFERROR(INDEX(Reference!$B$73:$B$78,MATCH(C38,Reference!$A$73:$A$78,0)),"Low"),IFERROR(INDEX(Reference!$B$84:$B$86,MATCH(MOD(C38-6,3),Reference!$A$84:$A$86,0)),"Low"))="Medium",2,IF(OR(IF(C38&lt;=5,IFERROR(INDEX(Reference!$B$73:$B$78,MATCH(C38,Reference!$A$73:$A$78,0)),"Low"),IFERROR(INDEX(Reference!$B$84:$B$86,MATCH(MOD(C38-6,3),Reference!$A$84:$A$86,0)),"Low"))="High Non-Bullpen",IF(C38&lt;=5,IFERROR(INDEX(Reference!$B$73:$B$78,MATCH(C38,Reference!$A$73:$A$78,0)),"Low"),IFERROR(INDEX(Reference!$B$84:$B$86,MATCH(MOD(C38-6,3),Reference!$A$84:$A$86,0)),"Low"))="High Bullpen"),3,4)))),-1,1))))</f>
        <v/>
      </c>
      <c r="N39" s="17">
        <f t="shared" ca="1" si="7"/>
        <v>0</v>
      </c>
      <c r="O39" s="17" t="str">
        <f t="shared" ca="1" si="8"/>
        <v/>
      </c>
      <c r="P39" s="17" t="str">
        <f t="shared" ca="1" si="9"/>
        <v/>
      </c>
      <c r="Q39" s="17" t="str">
        <f t="shared" ca="1" si="10"/>
        <v/>
      </c>
      <c r="R39" s="17" t="str">
        <f t="shared" ca="1" si="11"/>
        <v/>
      </c>
      <c r="S39" s="1" t="str">
        <f ca="1">IF(R39="","",IF(R39="No Throw","Full rest — no throwing today.",IF(R39="Low",CONCATENATE(IF('Day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mph"),IF(R39="Medium",CONCATENATE(IF('Day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mph"),IF(R39="High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mph"),IF(R39="High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mph"),IF(R39="Low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39" s="2"/>
    </row>
    <row r="40" spans="1:20" x14ac:dyDescent="0.3">
      <c r="A40" s="19" t="str">
        <f ca="1">IF($B$7+13&lt;$B$6,$B$7+13,"")</f>
        <v/>
      </c>
      <c r="B40" s="17" t="str">
        <f t="shared" ca="1" si="0"/>
        <v/>
      </c>
      <c r="C40" s="17" t="str">
        <f t="shared" ca="1" si="1"/>
        <v/>
      </c>
      <c r="D40" s="17" t="str">
        <f ca="1">IF(A40="","",IF(AND(T40&lt;&gt;"",T40&lt;&gt;"(none)"),T40,IF(C40&lt;=5,IFERROR(INDEX(Reference!$B$73:$B$78,MATCH(C40,Reference!$A$73:$A$78,0)),"Low"),IFERROR(INDEX(Reference!$B$84:$B$86,MATCH(MOD(C40-6,3),Reference!$A$84:$A$86,0)),"Low"))))</f>
        <v/>
      </c>
      <c r="E40" s="17" t="str">
        <f t="shared" ca="1" si="2"/>
        <v/>
      </c>
      <c r="F40" s="27" t="str">
        <f t="shared" ca="1" si="3"/>
        <v/>
      </c>
      <c r="G40" s="17" t="str">
        <f t="shared" ca="1" si="4"/>
        <v/>
      </c>
      <c r="H40" s="17" t="str">
        <f t="shared" ca="1" si="12"/>
        <v/>
      </c>
      <c r="I40" s="15" t="str">
        <f ca="1">IF(H40="","",IFERROR(INDEX('Day Type Templates'!$B$55:$B$60,MATCH(H40,'Day Type Templates'!$A$55:$A$60,0)),""))</f>
        <v/>
      </c>
      <c r="J40" s="15" t="str">
        <f ca="1">IF(F40="","",SUMIFS('Throw Log'!$Q$5:$Q$300,'Throw Log'!$B$5:$B$300,$B$4,'Throw Log'!$A$5:$A$300,F40))</f>
        <v/>
      </c>
      <c r="K40" s="28">
        <f t="shared" ca="1" si="5"/>
        <v>1</v>
      </c>
      <c r="L40" s="17">
        <f t="shared" ca="1" si="6"/>
        <v>0</v>
      </c>
      <c r="M40" s="17" t="str">
        <f ca="1">IF(A40="","",IF(R39="","",IF(IF(R39="No Throw",0,IF(R39="Low",1,IF(OR(R39="Medium",R39="Low Bullpen"),2,IF(OR(R39="High Non-Bullpen",R39="High Bullpen"),3,4))))=IF(IF(C39&lt;=5,IFERROR(INDEX(Reference!$B$73:$B$78,MATCH(C39,Reference!$A$73:$A$78,0)),"Low"),IFERROR(INDEX(Reference!$B$84:$B$86,MATCH(MOD(C39-6,3),Reference!$A$84:$A$86,0)),"Low"))="No Throw",0,IF(IF(C39&lt;=5,IFERROR(INDEX(Reference!$B$73:$B$78,MATCH(C39,Reference!$A$73:$A$78,0)),"Low"),IFERROR(INDEX(Reference!$B$84:$B$86,MATCH(MOD(C39-6,3),Reference!$A$84:$A$86,0)),"Low"))="Low",1,IF(IF(C39&lt;=5,IFERROR(INDEX(Reference!$B$73:$B$78,MATCH(C39,Reference!$A$73:$A$78,0)),"Low"),IFERROR(INDEX(Reference!$B$84:$B$86,MATCH(MOD(C39-6,3),Reference!$A$84:$A$86,0)),"Low"))="Medium",2,IF(OR(IF(C39&lt;=5,IFERROR(INDEX(Reference!$B$73:$B$78,MATCH(C39,Reference!$A$73:$A$78,0)),"Low"),IFERROR(INDEX(Reference!$B$84:$B$86,MATCH(MOD(C39-6,3),Reference!$A$84:$A$86,0)),"Low"))="High Non-Bullpen",IF(C39&lt;=5,IFERROR(INDEX(Reference!$B$73:$B$78,MATCH(C39,Reference!$A$73:$A$78,0)),"Low"),IFERROR(INDEX(Reference!$B$84:$B$86,MATCH(MOD(C39-6,3),Reference!$A$84:$A$86,0)),"Low"))="High Bullpen"),3,4)))),0,IF(IF(R39="No Throw",0,IF(R39="Low",1,IF(R39="Medium",2,IF(OR(R39="High Non-Bullpen",R39="High Bullpen"),3,4))))&gt;IF(IF(C39&lt;=5,IFERROR(INDEX(Reference!$B$73:$B$78,MATCH(C39,Reference!$A$73:$A$78,0)),"Low"),IFERROR(INDEX(Reference!$B$84:$B$86,MATCH(MOD(C39-6,3),Reference!$A$84:$A$86,0)),"Low"))="No Throw",0,IF(IF(C39&lt;=5,IFERROR(INDEX(Reference!$B$73:$B$78,MATCH(C39,Reference!$A$73:$A$78,0)),"Low"),IFERROR(INDEX(Reference!$B$84:$B$86,MATCH(MOD(C39-6,3),Reference!$A$84:$A$86,0)),"Low"))="Low",1,IF(IF(C39&lt;=5,IFERROR(INDEX(Reference!$B$73:$B$78,MATCH(C39,Reference!$A$73:$A$78,0)),"Low"),IFERROR(INDEX(Reference!$B$84:$B$86,MATCH(MOD(C39-6,3),Reference!$A$84:$A$86,0)),"Low"))="Medium",2,IF(OR(IF(C39&lt;=5,IFERROR(INDEX(Reference!$B$73:$B$78,MATCH(C39,Reference!$A$73:$A$78,0)),"Low"),IFERROR(INDEX(Reference!$B$84:$B$86,MATCH(MOD(C39-6,3),Reference!$A$84:$A$86,0)),"Low"))="High Non-Bullpen",IF(C39&lt;=5,IFERROR(INDEX(Reference!$B$73:$B$78,MATCH(C39,Reference!$A$73:$A$78,0)),"Low"),IFERROR(INDEX(Reference!$B$84:$B$86,MATCH(MOD(C39-6,3),Reference!$A$84:$A$86,0)),"Low"))="High Bullpen"),3,4)))),-1,1))))</f>
        <v/>
      </c>
      <c r="N40" s="17">
        <f t="shared" ca="1" si="7"/>
        <v>0</v>
      </c>
      <c r="O40" s="17" t="str">
        <f t="shared" ca="1" si="8"/>
        <v/>
      </c>
      <c r="P40" s="17" t="str">
        <f t="shared" ca="1" si="9"/>
        <v/>
      </c>
      <c r="Q40" s="17" t="str">
        <f t="shared" ca="1" si="10"/>
        <v/>
      </c>
      <c r="R40" s="17" t="str">
        <f t="shared" ca="1" si="11"/>
        <v/>
      </c>
      <c r="S40" s="1" t="str">
        <f ca="1">IF(R40="","",IF(R40="No Throw","Full rest — no throwing today.",IF(R40="Low",CONCATENATE(IF('Day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mph"),IF(R40="Medium",CONCATENATE(IF('Day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mph"),IF(R40="High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mph"),IF(R40="High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mph"),IF(R40="Low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0" s="2"/>
    </row>
    <row r="41" spans="1:20" x14ac:dyDescent="0.3">
      <c r="A41" s="19" t="str">
        <f ca="1">IF($B$7+14&lt;$B$6,$B$7+14,"")</f>
        <v/>
      </c>
      <c r="B41" s="17" t="str">
        <f t="shared" ca="1" si="0"/>
        <v/>
      </c>
      <c r="C41" s="17" t="str">
        <f t="shared" ca="1" si="1"/>
        <v/>
      </c>
      <c r="D41" s="17" t="str">
        <f ca="1">IF(A41="","",IF(AND(T41&lt;&gt;"",T41&lt;&gt;"(none)"),T41,IF(C41&lt;=5,IFERROR(INDEX(Reference!$B$73:$B$78,MATCH(C41,Reference!$A$73:$A$78,0)),"Low"),IFERROR(INDEX(Reference!$B$84:$B$86,MATCH(MOD(C41-6,3),Reference!$A$84:$A$86,0)),"Low"))))</f>
        <v/>
      </c>
      <c r="E41" s="17" t="str">
        <f t="shared" ca="1" si="2"/>
        <v/>
      </c>
      <c r="F41" s="27" t="str">
        <f t="shared" ca="1" si="3"/>
        <v/>
      </c>
      <c r="G41" s="17" t="str">
        <f t="shared" ca="1" si="4"/>
        <v/>
      </c>
      <c r="H41" s="17" t="str">
        <f t="shared" ca="1" si="12"/>
        <v/>
      </c>
      <c r="I41" s="15" t="str">
        <f ca="1">IF(H41="","",IFERROR(INDEX('Day Type Templates'!$B$55:$B$60,MATCH(H41,'Day Type Templates'!$A$55:$A$60,0)),""))</f>
        <v/>
      </c>
      <c r="J41" s="15" t="str">
        <f ca="1">IF(F41="","",SUMIFS('Throw Log'!$Q$5:$Q$300,'Throw Log'!$B$5:$B$300,$B$4,'Throw Log'!$A$5:$A$300,F41))</f>
        <v/>
      </c>
      <c r="K41" s="28">
        <f t="shared" ca="1" si="5"/>
        <v>1</v>
      </c>
      <c r="L41" s="17">
        <f t="shared" ca="1" si="6"/>
        <v>0</v>
      </c>
      <c r="M41" s="17" t="str">
        <f ca="1">IF(A41="","",IF(R40="","",IF(IF(R40="No Throw",0,IF(R40="Low",1,IF(OR(R40="Medium",R40="Low Bullpen"),2,IF(OR(R40="High Non-Bullpen",R40="High Bullpen"),3,4))))=IF(IF(C40&lt;=5,IFERROR(INDEX(Reference!$B$73:$B$78,MATCH(C40,Reference!$A$73:$A$78,0)),"Low"),IFERROR(INDEX(Reference!$B$84:$B$86,MATCH(MOD(C40-6,3),Reference!$A$84:$A$86,0)),"Low"))="No Throw",0,IF(IF(C40&lt;=5,IFERROR(INDEX(Reference!$B$73:$B$78,MATCH(C40,Reference!$A$73:$A$78,0)),"Low"),IFERROR(INDEX(Reference!$B$84:$B$86,MATCH(MOD(C40-6,3),Reference!$A$84:$A$86,0)),"Low"))="Low",1,IF(IF(C40&lt;=5,IFERROR(INDEX(Reference!$B$73:$B$78,MATCH(C40,Reference!$A$73:$A$78,0)),"Low"),IFERROR(INDEX(Reference!$B$84:$B$86,MATCH(MOD(C40-6,3),Reference!$A$84:$A$86,0)),"Low"))="Medium",2,IF(OR(IF(C40&lt;=5,IFERROR(INDEX(Reference!$B$73:$B$78,MATCH(C40,Reference!$A$73:$A$78,0)),"Low"),IFERROR(INDEX(Reference!$B$84:$B$86,MATCH(MOD(C40-6,3),Reference!$A$84:$A$86,0)),"Low"))="High Non-Bullpen",IF(C40&lt;=5,IFERROR(INDEX(Reference!$B$73:$B$78,MATCH(C40,Reference!$A$73:$A$78,0)),"Low"),IFERROR(INDEX(Reference!$B$84:$B$86,MATCH(MOD(C40-6,3),Reference!$A$84:$A$86,0)),"Low"))="High Bullpen"),3,4)))),0,IF(IF(R40="No Throw",0,IF(R40="Low",1,IF(R40="Medium",2,IF(OR(R40="High Non-Bullpen",R40="High Bullpen"),3,4))))&gt;IF(IF(C40&lt;=5,IFERROR(INDEX(Reference!$B$73:$B$78,MATCH(C40,Reference!$A$73:$A$78,0)),"Low"),IFERROR(INDEX(Reference!$B$84:$B$86,MATCH(MOD(C40-6,3),Reference!$A$84:$A$86,0)),"Low"))="No Throw",0,IF(IF(C40&lt;=5,IFERROR(INDEX(Reference!$B$73:$B$78,MATCH(C40,Reference!$A$73:$A$78,0)),"Low"),IFERROR(INDEX(Reference!$B$84:$B$86,MATCH(MOD(C40-6,3),Reference!$A$84:$A$86,0)),"Low"))="Low",1,IF(IF(C40&lt;=5,IFERROR(INDEX(Reference!$B$73:$B$78,MATCH(C40,Reference!$A$73:$A$78,0)),"Low"),IFERROR(INDEX(Reference!$B$84:$B$86,MATCH(MOD(C40-6,3),Reference!$A$84:$A$86,0)),"Low"))="Medium",2,IF(OR(IF(C40&lt;=5,IFERROR(INDEX(Reference!$B$73:$B$78,MATCH(C40,Reference!$A$73:$A$78,0)),"Low"),IFERROR(INDEX(Reference!$B$84:$B$86,MATCH(MOD(C40-6,3),Reference!$A$84:$A$86,0)),"Low"))="High Non-Bullpen",IF(C40&lt;=5,IFERROR(INDEX(Reference!$B$73:$B$78,MATCH(C40,Reference!$A$73:$A$78,0)),"Low"),IFERROR(INDEX(Reference!$B$84:$B$86,MATCH(MOD(C40-6,3),Reference!$A$84:$A$86,0)),"Low"))="High Bullpen"),3,4)))),-1,1))))</f>
        <v/>
      </c>
      <c r="N41" s="17">
        <f t="shared" ca="1" si="7"/>
        <v>0</v>
      </c>
      <c r="O41" s="17" t="str">
        <f t="shared" ca="1" si="8"/>
        <v/>
      </c>
      <c r="P41" s="17" t="str">
        <f t="shared" ca="1" si="9"/>
        <v/>
      </c>
      <c r="Q41" s="17" t="str">
        <f t="shared" ca="1" si="10"/>
        <v/>
      </c>
      <c r="R41" s="17" t="str">
        <f t="shared" ca="1" si="11"/>
        <v/>
      </c>
      <c r="S41" s="1" t="str">
        <f ca="1">IF(R41="","",IF(R41="No Throw","Full rest — no throwing today.",IF(R41="Low",CONCATENATE(IF('Day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mph"),IF(R41="Medium",CONCATENATE(IF('Day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mph"),IF(R41="High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mph"),IF(R41="High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mph"),IF(R41="Low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1" s="2"/>
    </row>
    <row r="42" spans="1:20" x14ac:dyDescent="0.3">
      <c r="A42" s="19" t="str">
        <f ca="1">IF($B$7+15&lt;$B$6,$B$7+15,"")</f>
        <v/>
      </c>
      <c r="B42" s="17" t="str">
        <f t="shared" ca="1" si="0"/>
        <v/>
      </c>
      <c r="C42" s="17" t="str">
        <f t="shared" ca="1" si="1"/>
        <v/>
      </c>
      <c r="D42" s="17" t="str">
        <f ca="1">IF(A42="","",IF(AND(T42&lt;&gt;"",T42&lt;&gt;"(none)"),T42,IF(C42&lt;=5,IFERROR(INDEX(Reference!$B$73:$B$78,MATCH(C42,Reference!$A$73:$A$78,0)),"Low"),IFERROR(INDEX(Reference!$B$84:$B$86,MATCH(MOD(C42-6,3),Reference!$A$84:$A$86,0)),"Low"))))</f>
        <v/>
      </c>
      <c r="E42" s="17" t="str">
        <f t="shared" ca="1" si="2"/>
        <v/>
      </c>
      <c r="F42" s="27" t="str">
        <f t="shared" ca="1" si="3"/>
        <v/>
      </c>
      <c r="G42" s="17" t="str">
        <f t="shared" ca="1" si="4"/>
        <v/>
      </c>
      <c r="H42" s="17" t="str">
        <f t="shared" ca="1" si="12"/>
        <v/>
      </c>
      <c r="I42" s="15" t="str">
        <f ca="1">IF(H42="","",IFERROR(INDEX('Day Type Templates'!$B$55:$B$60,MATCH(H42,'Day Type Templates'!$A$55:$A$60,0)),""))</f>
        <v/>
      </c>
      <c r="J42" s="15" t="str">
        <f ca="1">IF(F42="","",SUMIFS('Throw Log'!$Q$5:$Q$300,'Throw Log'!$B$5:$B$300,$B$4,'Throw Log'!$A$5:$A$300,F42))</f>
        <v/>
      </c>
      <c r="K42" s="28">
        <f t="shared" ca="1" si="5"/>
        <v>1</v>
      </c>
      <c r="L42" s="17">
        <f t="shared" ca="1" si="6"/>
        <v>0</v>
      </c>
      <c r="M42" s="17" t="str">
        <f ca="1">IF(A42="","",IF(R41="","",IF(IF(R41="No Throw",0,IF(R41="Low",1,IF(OR(R41="Medium",R41="Low Bullpen"),2,IF(OR(R41="High Non-Bullpen",R41="High Bullpen"),3,4))))=IF(IF(C41&lt;=5,IFERROR(INDEX(Reference!$B$73:$B$78,MATCH(C41,Reference!$A$73:$A$78,0)),"Low"),IFERROR(INDEX(Reference!$B$84:$B$86,MATCH(MOD(C41-6,3),Reference!$A$84:$A$86,0)),"Low"))="No Throw",0,IF(IF(C41&lt;=5,IFERROR(INDEX(Reference!$B$73:$B$78,MATCH(C41,Reference!$A$73:$A$78,0)),"Low"),IFERROR(INDEX(Reference!$B$84:$B$86,MATCH(MOD(C41-6,3),Reference!$A$84:$A$86,0)),"Low"))="Low",1,IF(IF(C41&lt;=5,IFERROR(INDEX(Reference!$B$73:$B$78,MATCH(C41,Reference!$A$73:$A$78,0)),"Low"),IFERROR(INDEX(Reference!$B$84:$B$86,MATCH(MOD(C41-6,3),Reference!$A$84:$A$86,0)),"Low"))="Medium",2,IF(OR(IF(C41&lt;=5,IFERROR(INDEX(Reference!$B$73:$B$78,MATCH(C41,Reference!$A$73:$A$78,0)),"Low"),IFERROR(INDEX(Reference!$B$84:$B$86,MATCH(MOD(C41-6,3),Reference!$A$84:$A$86,0)),"Low"))="High Non-Bullpen",IF(C41&lt;=5,IFERROR(INDEX(Reference!$B$73:$B$78,MATCH(C41,Reference!$A$73:$A$78,0)),"Low"),IFERROR(INDEX(Reference!$B$84:$B$86,MATCH(MOD(C41-6,3),Reference!$A$84:$A$86,0)),"Low"))="High Bullpen"),3,4)))),0,IF(IF(R41="No Throw",0,IF(R41="Low",1,IF(R41="Medium",2,IF(OR(R41="High Non-Bullpen",R41="High Bullpen"),3,4))))&gt;IF(IF(C41&lt;=5,IFERROR(INDEX(Reference!$B$73:$B$78,MATCH(C41,Reference!$A$73:$A$78,0)),"Low"),IFERROR(INDEX(Reference!$B$84:$B$86,MATCH(MOD(C41-6,3),Reference!$A$84:$A$86,0)),"Low"))="No Throw",0,IF(IF(C41&lt;=5,IFERROR(INDEX(Reference!$B$73:$B$78,MATCH(C41,Reference!$A$73:$A$78,0)),"Low"),IFERROR(INDEX(Reference!$B$84:$B$86,MATCH(MOD(C41-6,3),Reference!$A$84:$A$86,0)),"Low"))="Low",1,IF(IF(C41&lt;=5,IFERROR(INDEX(Reference!$B$73:$B$78,MATCH(C41,Reference!$A$73:$A$78,0)),"Low"),IFERROR(INDEX(Reference!$B$84:$B$86,MATCH(MOD(C41-6,3),Reference!$A$84:$A$86,0)),"Low"))="Medium",2,IF(OR(IF(C41&lt;=5,IFERROR(INDEX(Reference!$B$73:$B$78,MATCH(C41,Reference!$A$73:$A$78,0)),"Low"),IFERROR(INDEX(Reference!$B$84:$B$86,MATCH(MOD(C41-6,3),Reference!$A$84:$A$86,0)),"Low"))="High Non-Bullpen",IF(C41&lt;=5,IFERROR(INDEX(Reference!$B$73:$B$78,MATCH(C41,Reference!$A$73:$A$78,0)),"Low"),IFERROR(INDEX(Reference!$B$84:$B$86,MATCH(MOD(C41-6,3),Reference!$A$84:$A$86,0)),"Low"))="High Bullpen"),3,4)))),-1,1))))</f>
        <v/>
      </c>
      <c r="N42" s="17">
        <f t="shared" ca="1" si="7"/>
        <v>0</v>
      </c>
      <c r="O42" s="17" t="str">
        <f t="shared" ca="1" si="8"/>
        <v/>
      </c>
      <c r="P42" s="17" t="str">
        <f t="shared" ca="1" si="9"/>
        <v/>
      </c>
      <c r="Q42" s="17" t="str">
        <f t="shared" ca="1" si="10"/>
        <v/>
      </c>
      <c r="R42" s="17" t="str">
        <f t="shared" ca="1" si="11"/>
        <v/>
      </c>
      <c r="S42" s="1" t="str">
        <f ca="1">IF(R42="","",IF(R42="No Throw","Full rest — no throwing today.",IF(R42="Low",CONCATENATE(IF('Day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mph"),IF(R42="Medium",CONCATENATE(IF('Day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mph"),IF(R42="High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mph"),IF(R42="High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mph"),IF(R42="Low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2" s="2"/>
    </row>
    <row r="43" spans="1:20" x14ac:dyDescent="0.3">
      <c r="A43" s="19" t="str">
        <f ca="1">IF($B$7+16&lt;$B$6,$B$7+16,"")</f>
        <v/>
      </c>
      <c r="B43" s="17" t="str">
        <f t="shared" ca="1" si="0"/>
        <v/>
      </c>
      <c r="C43" s="17" t="str">
        <f t="shared" ca="1" si="1"/>
        <v/>
      </c>
      <c r="D43" s="17" t="str">
        <f ca="1">IF(A43="","",IF(AND(T43&lt;&gt;"",T43&lt;&gt;"(none)"),T43,IF(C43&lt;=5,IFERROR(INDEX(Reference!$B$73:$B$78,MATCH(C43,Reference!$A$73:$A$78,0)),"Low"),IFERROR(INDEX(Reference!$B$84:$B$86,MATCH(MOD(C43-6,3),Reference!$A$84:$A$86,0)),"Low"))))</f>
        <v/>
      </c>
      <c r="E43" s="17" t="str">
        <f t="shared" ca="1" si="2"/>
        <v/>
      </c>
      <c r="F43" s="27" t="str">
        <f t="shared" ca="1" si="3"/>
        <v/>
      </c>
      <c r="G43" s="17" t="str">
        <f t="shared" ca="1" si="4"/>
        <v/>
      </c>
      <c r="H43" s="17" t="str">
        <f t="shared" ca="1" si="12"/>
        <v/>
      </c>
      <c r="I43" s="15" t="str">
        <f ca="1">IF(H43="","",IFERROR(INDEX('Day Type Templates'!$B$55:$B$60,MATCH(H43,'Day Type Templates'!$A$55:$A$60,0)),""))</f>
        <v/>
      </c>
      <c r="J43" s="15" t="str">
        <f ca="1">IF(F43="","",SUMIFS('Throw Log'!$Q$5:$Q$300,'Throw Log'!$B$5:$B$300,$B$4,'Throw Log'!$A$5:$A$300,F43))</f>
        <v/>
      </c>
      <c r="K43" s="28">
        <f t="shared" ca="1" si="5"/>
        <v>1</v>
      </c>
      <c r="L43" s="17">
        <f t="shared" ca="1" si="6"/>
        <v>0</v>
      </c>
      <c r="M43" s="17" t="str">
        <f ca="1">IF(A43="","",IF(R42="","",IF(IF(R42="No Throw",0,IF(R42="Low",1,IF(OR(R42="Medium",R42="Low Bullpen"),2,IF(OR(R42="High Non-Bullpen",R42="High Bullpen"),3,4))))=IF(IF(C42&lt;=5,IFERROR(INDEX(Reference!$B$73:$B$78,MATCH(C42,Reference!$A$73:$A$78,0)),"Low"),IFERROR(INDEX(Reference!$B$84:$B$86,MATCH(MOD(C42-6,3),Reference!$A$84:$A$86,0)),"Low"))="No Throw",0,IF(IF(C42&lt;=5,IFERROR(INDEX(Reference!$B$73:$B$78,MATCH(C42,Reference!$A$73:$A$78,0)),"Low"),IFERROR(INDEX(Reference!$B$84:$B$86,MATCH(MOD(C42-6,3),Reference!$A$84:$A$86,0)),"Low"))="Low",1,IF(IF(C42&lt;=5,IFERROR(INDEX(Reference!$B$73:$B$78,MATCH(C42,Reference!$A$73:$A$78,0)),"Low"),IFERROR(INDEX(Reference!$B$84:$B$86,MATCH(MOD(C42-6,3),Reference!$A$84:$A$86,0)),"Low"))="Medium",2,IF(OR(IF(C42&lt;=5,IFERROR(INDEX(Reference!$B$73:$B$78,MATCH(C42,Reference!$A$73:$A$78,0)),"Low"),IFERROR(INDEX(Reference!$B$84:$B$86,MATCH(MOD(C42-6,3),Reference!$A$84:$A$86,0)),"Low"))="High Non-Bullpen",IF(C42&lt;=5,IFERROR(INDEX(Reference!$B$73:$B$78,MATCH(C42,Reference!$A$73:$A$78,0)),"Low"),IFERROR(INDEX(Reference!$B$84:$B$86,MATCH(MOD(C42-6,3),Reference!$A$84:$A$86,0)),"Low"))="High Bullpen"),3,4)))),0,IF(IF(R42="No Throw",0,IF(R42="Low",1,IF(R42="Medium",2,IF(OR(R42="High Non-Bullpen",R42="High Bullpen"),3,4))))&gt;IF(IF(C42&lt;=5,IFERROR(INDEX(Reference!$B$73:$B$78,MATCH(C42,Reference!$A$73:$A$78,0)),"Low"),IFERROR(INDEX(Reference!$B$84:$B$86,MATCH(MOD(C42-6,3),Reference!$A$84:$A$86,0)),"Low"))="No Throw",0,IF(IF(C42&lt;=5,IFERROR(INDEX(Reference!$B$73:$B$78,MATCH(C42,Reference!$A$73:$A$78,0)),"Low"),IFERROR(INDEX(Reference!$B$84:$B$86,MATCH(MOD(C42-6,3),Reference!$A$84:$A$86,0)),"Low"))="Low",1,IF(IF(C42&lt;=5,IFERROR(INDEX(Reference!$B$73:$B$78,MATCH(C42,Reference!$A$73:$A$78,0)),"Low"),IFERROR(INDEX(Reference!$B$84:$B$86,MATCH(MOD(C42-6,3),Reference!$A$84:$A$86,0)),"Low"))="Medium",2,IF(OR(IF(C42&lt;=5,IFERROR(INDEX(Reference!$B$73:$B$78,MATCH(C42,Reference!$A$73:$A$78,0)),"Low"),IFERROR(INDEX(Reference!$B$84:$B$86,MATCH(MOD(C42-6,3),Reference!$A$84:$A$86,0)),"Low"))="High Non-Bullpen",IF(C42&lt;=5,IFERROR(INDEX(Reference!$B$73:$B$78,MATCH(C42,Reference!$A$73:$A$78,0)),"Low"),IFERROR(INDEX(Reference!$B$84:$B$86,MATCH(MOD(C42-6,3),Reference!$A$84:$A$86,0)),"Low"))="High Bullpen"),3,4)))),-1,1))))</f>
        <v/>
      </c>
      <c r="N43" s="17">
        <f t="shared" ca="1" si="7"/>
        <v>0</v>
      </c>
      <c r="O43" s="17" t="str">
        <f t="shared" ca="1" si="8"/>
        <v/>
      </c>
      <c r="P43" s="17" t="str">
        <f t="shared" ca="1" si="9"/>
        <v/>
      </c>
      <c r="Q43" s="17" t="str">
        <f t="shared" ca="1" si="10"/>
        <v/>
      </c>
      <c r="R43" s="17" t="str">
        <f t="shared" ca="1" si="11"/>
        <v/>
      </c>
      <c r="S43" s="1" t="str">
        <f ca="1">IF(R43="","",IF(R43="No Throw","Full rest — no throwing today.",IF(R43="Low",CONCATENATE(IF('Day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mph"),IF(R43="Medium",CONCATENATE(IF('Day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mph"),IF(R43="High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mph"),IF(R43="High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mph"),IF(R43="Low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3" s="2"/>
    </row>
    <row r="44" spans="1:20" x14ac:dyDescent="0.3">
      <c r="A44" s="19" t="str">
        <f ca="1">IF($B$7+17&lt;$B$6,$B$7+17,"")</f>
        <v/>
      </c>
      <c r="B44" s="17" t="str">
        <f t="shared" ca="1" si="0"/>
        <v/>
      </c>
      <c r="C44" s="17" t="str">
        <f t="shared" ca="1" si="1"/>
        <v/>
      </c>
      <c r="D44" s="17" t="str">
        <f ca="1">IF(A44="","",IF(AND(T44&lt;&gt;"",T44&lt;&gt;"(none)"),T44,IF(C44&lt;=5,IFERROR(INDEX(Reference!$B$73:$B$78,MATCH(C44,Reference!$A$73:$A$78,0)),"Low"),IFERROR(INDEX(Reference!$B$84:$B$86,MATCH(MOD(C44-6,3),Reference!$A$84:$A$86,0)),"Low"))))</f>
        <v/>
      </c>
      <c r="E44" s="17" t="str">
        <f t="shared" ca="1" si="2"/>
        <v/>
      </c>
      <c r="F44" s="27" t="str">
        <f t="shared" ca="1" si="3"/>
        <v/>
      </c>
      <c r="G44" s="17" t="str">
        <f t="shared" ca="1" si="4"/>
        <v/>
      </c>
      <c r="H44" s="17" t="str">
        <f t="shared" ca="1" si="12"/>
        <v/>
      </c>
      <c r="I44" s="15" t="str">
        <f ca="1">IF(H44="","",IFERROR(INDEX('Day Type Templates'!$B$55:$B$60,MATCH(H44,'Day Type Templates'!$A$55:$A$60,0)),""))</f>
        <v/>
      </c>
      <c r="J44" s="15" t="str">
        <f ca="1">IF(F44="","",SUMIFS('Throw Log'!$Q$5:$Q$300,'Throw Log'!$B$5:$B$300,$B$4,'Throw Log'!$A$5:$A$300,F44))</f>
        <v/>
      </c>
      <c r="K44" s="28">
        <f t="shared" ca="1" si="5"/>
        <v>1</v>
      </c>
      <c r="L44" s="17">
        <f t="shared" ca="1" si="6"/>
        <v>0</v>
      </c>
      <c r="M44" s="17" t="str">
        <f ca="1">IF(A44="","",IF(R43="","",IF(IF(R43="No Throw",0,IF(R43="Low",1,IF(OR(R43="Medium",R43="Low Bullpen"),2,IF(OR(R43="High Non-Bullpen",R43="High Bullpen"),3,4))))=IF(IF(C43&lt;=5,IFERROR(INDEX(Reference!$B$73:$B$78,MATCH(C43,Reference!$A$73:$A$78,0)),"Low"),IFERROR(INDEX(Reference!$B$84:$B$86,MATCH(MOD(C43-6,3),Reference!$A$84:$A$86,0)),"Low"))="No Throw",0,IF(IF(C43&lt;=5,IFERROR(INDEX(Reference!$B$73:$B$78,MATCH(C43,Reference!$A$73:$A$78,0)),"Low"),IFERROR(INDEX(Reference!$B$84:$B$86,MATCH(MOD(C43-6,3),Reference!$A$84:$A$86,0)),"Low"))="Low",1,IF(IF(C43&lt;=5,IFERROR(INDEX(Reference!$B$73:$B$78,MATCH(C43,Reference!$A$73:$A$78,0)),"Low"),IFERROR(INDEX(Reference!$B$84:$B$86,MATCH(MOD(C43-6,3),Reference!$A$84:$A$86,0)),"Low"))="Medium",2,IF(OR(IF(C43&lt;=5,IFERROR(INDEX(Reference!$B$73:$B$78,MATCH(C43,Reference!$A$73:$A$78,0)),"Low"),IFERROR(INDEX(Reference!$B$84:$B$86,MATCH(MOD(C43-6,3),Reference!$A$84:$A$86,0)),"Low"))="High Non-Bullpen",IF(C43&lt;=5,IFERROR(INDEX(Reference!$B$73:$B$78,MATCH(C43,Reference!$A$73:$A$78,0)),"Low"),IFERROR(INDEX(Reference!$B$84:$B$86,MATCH(MOD(C43-6,3),Reference!$A$84:$A$86,0)),"Low"))="High Bullpen"),3,4)))),0,IF(IF(R43="No Throw",0,IF(R43="Low",1,IF(R43="Medium",2,IF(OR(R43="High Non-Bullpen",R43="High Bullpen"),3,4))))&gt;IF(IF(C43&lt;=5,IFERROR(INDEX(Reference!$B$73:$B$78,MATCH(C43,Reference!$A$73:$A$78,0)),"Low"),IFERROR(INDEX(Reference!$B$84:$B$86,MATCH(MOD(C43-6,3),Reference!$A$84:$A$86,0)),"Low"))="No Throw",0,IF(IF(C43&lt;=5,IFERROR(INDEX(Reference!$B$73:$B$78,MATCH(C43,Reference!$A$73:$A$78,0)),"Low"),IFERROR(INDEX(Reference!$B$84:$B$86,MATCH(MOD(C43-6,3),Reference!$A$84:$A$86,0)),"Low"))="Low",1,IF(IF(C43&lt;=5,IFERROR(INDEX(Reference!$B$73:$B$78,MATCH(C43,Reference!$A$73:$A$78,0)),"Low"),IFERROR(INDEX(Reference!$B$84:$B$86,MATCH(MOD(C43-6,3),Reference!$A$84:$A$86,0)),"Low"))="Medium",2,IF(OR(IF(C43&lt;=5,IFERROR(INDEX(Reference!$B$73:$B$78,MATCH(C43,Reference!$A$73:$A$78,0)),"Low"),IFERROR(INDEX(Reference!$B$84:$B$86,MATCH(MOD(C43-6,3),Reference!$A$84:$A$86,0)),"Low"))="High Non-Bullpen",IF(C43&lt;=5,IFERROR(INDEX(Reference!$B$73:$B$78,MATCH(C43,Reference!$A$73:$A$78,0)),"Low"),IFERROR(INDEX(Reference!$B$84:$B$86,MATCH(MOD(C43-6,3),Reference!$A$84:$A$86,0)),"Low"))="High Bullpen"),3,4)))),-1,1))))</f>
        <v/>
      </c>
      <c r="N44" s="17">
        <f t="shared" ca="1" si="7"/>
        <v>0</v>
      </c>
      <c r="O44" s="17" t="str">
        <f t="shared" ca="1" si="8"/>
        <v/>
      </c>
      <c r="P44" s="17" t="str">
        <f t="shared" ca="1" si="9"/>
        <v/>
      </c>
      <c r="Q44" s="17" t="str">
        <f t="shared" ca="1" si="10"/>
        <v/>
      </c>
      <c r="R44" s="17" t="str">
        <f t="shared" ca="1" si="11"/>
        <v/>
      </c>
      <c r="S44" s="1" t="str">
        <f ca="1">IF(R44="","",IF(R44="No Throw","Full rest — no throwing today.",IF(R44="Low",CONCATENATE(IF('Day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mph"),IF(R44="Medium",CONCATENATE(IF('Day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mph"),IF(R44="High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mph"),IF(R44="High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mph"),IF(R44="Low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4" s="2"/>
    </row>
    <row r="45" spans="1:20" x14ac:dyDescent="0.3">
      <c r="A45" s="19" t="str">
        <f ca="1">IF($B$7+18&lt;$B$6,$B$7+18,"")</f>
        <v/>
      </c>
      <c r="B45" s="17" t="str">
        <f t="shared" ca="1" si="0"/>
        <v/>
      </c>
      <c r="C45" s="17" t="str">
        <f t="shared" ca="1" si="1"/>
        <v/>
      </c>
      <c r="D45" s="17" t="str">
        <f ca="1">IF(A45="","",IF(AND(T45&lt;&gt;"",T45&lt;&gt;"(none)"),T45,IF(C45&lt;=5,IFERROR(INDEX(Reference!$B$73:$B$78,MATCH(C45,Reference!$A$73:$A$78,0)),"Low"),IFERROR(INDEX(Reference!$B$84:$B$86,MATCH(MOD(C45-6,3),Reference!$A$84:$A$86,0)),"Low"))))</f>
        <v/>
      </c>
      <c r="E45" s="17" t="str">
        <f t="shared" ca="1" si="2"/>
        <v/>
      </c>
      <c r="F45" s="27" t="str">
        <f t="shared" ca="1" si="3"/>
        <v/>
      </c>
      <c r="G45" s="17" t="str">
        <f t="shared" ca="1" si="4"/>
        <v/>
      </c>
      <c r="H45" s="17" t="str">
        <f t="shared" ca="1" si="12"/>
        <v/>
      </c>
      <c r="I45" s="15" t="str">
        <f ca="1">IF(H45="","",IFERROR(INDEX('Day Type Templates'!$B$55:$B$60,MATCH(H45,'Day Type Templates'!$A$55:$A$60,0)),""))</f>
        <v/>
      </c>
      <c r="J45" s="15" t="str">
        <f ca="1">IF(F45="","",SUMIFS('Throw Log'!$Q$5:$Q$300,'Throw Log'!$B$5:$B$300,$B$4,'Throw Log'!$A$5:$A$300,F45))</f>
        <v/>
      </c>
      <c r="K45" s="28">
        <f t="shared" ca="1" si="5"/>
        <v>1</v>
      </c>
      <c r="L45" s="17">
        <f t="shared" ca="1" si="6"/>
        <v>0</v>
      </c>
      <c r="M45" s="17" t="str">
        <f ca="1">IF(A45="","",IF(R44="","",IF(IF(R44="No Throw",0,IF(R44="Low",1,IF(OR(R44="Medium",R44="Low Bullpen"),2,IF(OR(R44="High Non-Bullpen",R44="High Bullpen"),3,4))))=IF(IF(C44&lt;=5,IFERROR(INDEX(Reference!$B$73:$B$78,MATCH(C44,Reference!$A$73:$A$78,0)),"Low"),IFERROR(INDEX(Reference!$B$84:$B$86,MATCH(MOD(C44-6,3),Reference!$A$84:$A$86,0)),"Low"))="No Throw",0,IF(IF(C44&lt;=5,IFERROR(INDEX(Reference!$B$73:$B$78,MATCH(C44,Reference!$A$73:$A$78,0)),"Low"),IFERROR(INDEX(Reference!$B$84:$B$86,MATCH(MOD(C44-6,3),Reference!$A$84:$A$86,0)),"Low"))="Low",1,IF(IF(C44&lt;=5,IFERROR(INDEX(Reference!$B$73:$B$78,MATCH(C44,Reference!$A$73:$A$78,0)),"Low"),IFERROR(INDEX(Reference!$B$84:$B$86,MATCH(MOD(C44-6,3),Reference!$A$84:$A$86,0)),"Low"))="Medium",2,IF(OR(IF(C44&lt;=5,IFERROR(INDEX(Reference!$B$73:$B$78,MATCH(C44,Reference!$A$73:$A$78,0)),"Low"),IFERROR(INDEX(Reference!$B$84:$B$86,MATCH(MOD(C44-6,3),Reference!$A$84:$A$86,0)),"Low"))="High Non-Bullpen",IF(C44&lt;=5,IFERROR(INDEX(Reference!$B$73:$B$78,MATCH(C44,Reference!$A$73:$A$78,0)),"Low"),IFERROR(INDEX(Reference!$B$84:$B$86,MATCH(MOD(C44-6,3),Reference!$A$84:$A$86,0)),"Low"))="High Bullpen"),3,4)))),0,IF(IF(R44="No Throw",0,IF(R44="Low",1,IF(R44="Medium",2,IF(OR(R44="High Non-Bullpen",R44="High Bullpen"),3,4))))&gt;IF(IF(C44&lt;=5,IFERROR(INDEX(Reference!$B$73:$B$78,MATCH(C44,Reference!$A$73:$A$78,0)),"Low"),IFERROR(INDEX(Reference!$B$84:$B$86,MATCH(MOD(C44-6,3),Reference!$A$84:$A$86,0)),"Low"))="No Throw",0,IF(IF(C44&lt;=5,IFERROR(INDEX(Reference!$B$73:$B$78,MATCH(C44,Reference!$A$73:$A$78,0)),"Low"),IFERROR(INDEX(Reference!$B$84:$B$86,MATCH(MOD(C44-6,3),Reference!$A$84:$A$86,0)),"Low"))="Low",1,IF(IF(C44&lt;=5,IFERROR(INDEX(Reference!$B$73:$B$78,MATCH(C44,Reference!$A$73:$A$78,0)),"Low"),IFERROR(INDEX(Reference!$B$84:$B$86,MATCH(MOD(C44-6,3),Reference!$A$84:$A$86,0)),"Low"))="Medium",2,IF(OR(IF(C44&lt;=5,IFERROR(INDEX(Reference!$B$73:$B$78,MATCH(C44,Reference!$A$73:$A$78,0)),"Low"),IFERROR(INDEX(Reference!$B$84:$B$86,MATCH(MOD(C44-6,3),Reference!$A$84:$A$86,0)),"Low"))="High Non-Bullpen",IF(C44&lt;=5,IFERROR(INDEX(Reference!$B$73:$B$78,MATCH(C44,Reference!$A$73:$A$78,0)),"Low"),IFERROR(INDEX(Reference!$B$84:$B$86,MATCH(MOD(C44-6,3),Reference!$A$84:$A$86,0)),"Low"))="High Bullpen"),3,4)))),-1,1))))</f>
        <v/>
      </c>
      <c r="N45" s="17">
        <f t="shared" ca="1" si="7"/>
        <v>0</v>
      </c>
      <c r="O45" s="17" t="str">
        <f t="shared" ca="1" si="8"/>
        <v/>
      </c>
      <c r="P45" s="17" t="str">
        <f t="shared" ca="1" si="9"/>
        <v/>
      </c>
      <c r="Q45" s="17" t="str">
        <f t="shared" ca="1" si="10"/>
        <v/>
      </c>
      <c r="R45" s="17" t="str">
        <f t="shared" ca="1" si="11"/>
        <v/>
      </c>
      <c r="S45" s="1" t="str">
        <f ca="1">IF(R45="","",IF(R45="No Throw","Full rest — no throwing today.",IF(R45="Low",CONCATENATE(IF('Day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mph"),IF(R45="Medium",CONCATENATE(IF('Day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mph"),IF(R45="High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mph"),IF(R45="High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mph"),IF(R45="Low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5" s="2"/>
    </row>
    <row r="46" spans="1:20" x14ac:dyDescent="0.3">
      <c r="A46" s="19" t="str">
        <f ca="1">IF($B$7+19&lt;$B$6,$B$7+19,"")</f>
        <v/>
      </c>
      <c r="B46" s="17" t="str">
        <f t="shared" ca="1" si="0"/>
        <v/>
      </c>
      <c r="C46" s="17" t="str">
        <f t="shared" ca="1" si="1"/>
        <v/>
      </c>
      <c r="D46" s="17" t="str">
        <f ca="1">IF(A46="","",IF(AND(T46&lt;&gt;"",T46&lt;&gt;"(none)"),T46,IF(C46&lt;=5,IFERROR(INDEX(Reference!$B$73:$B$78,MATCH(C46,Reference!$A$73:$A$78,0)),"Low"),IFERROR(INDEX(Reference!$B$84:$B$86,MATCH(MOD(C46-6,3),Reference!$A$84:$A$86,0)),"Low"))))</f>
        <v/>
      </c>
      <c r="E46" s="17" t="str">
        <f t="shared" ca="1" si="2"/>
        <v/>
      </c>
      <c r="F46" s="27" t="str">
        <f t="shared" ca="1" si="3"/>
        <v/>
      </c>
      <c r="G46" s="17" t="str">
        <f t="shared" ca="1" si="4"/>
        <v/>
      </c>
      <c r="H46" s="17" t="str">
        <f t="shared" ca="1" si="12"/>
        <v/>
      </c>
      <c r="I46" s="15" t="str">
        <f ca="1">IF(H46="","",IFERROR(INDEX('Day Type Templates'!$B$55:$B$60,MATCH(H46,'Day Type Templates'!$A$55:$A$60,0)),""))</f>
        <v/>
      </c>
      <c r="J46" s="15" t="str">
        <f ca="1">IF(F46="","",SUMIFS('Throw Log'!$Q$5:$Q$300,'Throw Log'!$B$5:$B$300,$B$4,'Throw Log'!$A$5:$A$300,F46))</f>
        <v/>
      </c>
      <c r="K46" s="28">
        <f t="shared" ca="1" si="5"/>
        <v>1</v>
      </c>
      <c r="L46" s="17">
        <f t="shared" ca="1" si="6"/>
        <v>0</v>
      </c>
      <c r="M46" s="17" t="str">
        <f ca="1">IF(A46="","",IF(R45="","",IF(IF(R45="No Throw",0,IF(R45="Low",1,IF(OR(R45="Medium",R45="Low Bullpen"),2,IF(OR(R45="High Non-Bullpen",R45="High Bullpen"),3,4))))=IF(IF(C45&lt;=5,IFERROR(INDEX(Reference!$B$73:$B$78,MATCH(C45,Reference!$A$73:$A$78,0)),"Low"),IFERROR(INDEX(Reference!$B$84:$B$86,MATCH(MOD(C45-6,3),Reference!$A$84:$A$86,0)),"Low"))="No Throw",0,IF(IF(C45&lt;=5,IFERROR(INDEX(Reference!$B$73:$B$78,MATCH(C45,Reference!$A$73:$A$78,0)),"Low"),IFERROR(INDEX(Reference!$B$84:$B$86,MATCH(MOD(C45-6,3),Reference!$A$84:$A$86,0)),"Low"))="Low",1,IF(IF(C45&lt;=5,IFERROR(INDEX(Reference!$B$73:$B$78,MATCH(C45,Reference!$A$73:$A$78,0)),"Low"),IFERROR(INDEX(Reference!$B$84:$B$86,MATCH(MOD(C45-6,3),Reference!$A$84:$A$86,0)),"Low"))="Medium",2,IF(OR(IF(C45&lt;=5,IFERROR(INDEX(Reference!$B$73:$B$78,MATCH(C45,Reference!$A$73:$A$78,0)),"Low"),IFERROR(INDEX(Reference!$B$84:$B$86,MATCH(MOD(C45-6,3),Reference!$A$84:$A$86,0)),"Low"))="High Non-Bullpen",IF(C45&lt;=5,IFERROR(INDEX(Reference!$B$73:$B$78,MATCH(C45,Reference!$A$73:$A$78,0)),"Low"),IFERROR(INDEX(Reference!$B$84:$B$86,MATCH(MOD(C45-6,3),Reference!$A$84:$A$86,0)),"Low"))="High Bullpen"),3,4)))),0,IF(IF(R45="No Throw",0,IF(R45="Low",1,IF(R45="Medium",2,IF(OR(R45="High Non-Bullpen",R45="High Bullpen"),3,4))))&gt;IF(IF(C45&lt;=5,IFERROR(INDEX(Reference!$B$73:$B$78,MATCH(C45,Reference!$A$73:$A$78,0)),"Low"),IFERROR(INDEX(Reference!$B$84:$B$86,MATCH(MOD(C45-6,3),Reference!$A$84:$A$86,0)),"Low"))="No Throw",0,IF(IF(C45&lt;=5,IFERROR(INDEX(Reference!$B$73:$B$78,MATCH(C45,Reference!$A$73:$A$78,0)),"Low"),IFERROR(INDEX(Reference!$B$84:$B$86,MATCH(MOD(C45-6,3),Reference!$A$84:$A$86,0)),"Low"))="Low",1,IF(IF(C45&lt;=5,IFERROR(INDEX(Reference!$B$73:$B$78,MATCH(C45,Reference!$A$73:$A$78,0)),"Low"),IFERROR(INDEX(Reference!$B$84:$B$86,MATCH(MOD(C45-6,3),Reference!$A$84:$A$86,0)),"Low"))="Medium",2,IF(OR(IF(C45&lt;=5,IFERROR(INDEX(Reference!$B$73:$B$78,MATCH(C45,Reference!$A$73:$A$78,0)),"Low"),IFERROR(INDEX(Reference!$B$84:$B$86,MATCH(MOD(C45-6,3),Reference!$A$84:$A$86,0)),"Low"))="High Non-Bullpen",IF(C45&lt;=5,IFERROR(INDEX(Reference!$B$73:$B$78,MATCH(C45,Reference!$A$73:$A$78,0)),"Low"),IFERROR(INDEX(Reference!$B$84:$B$86,MATCH(MOD(C45-6,3),Reference!$A$84:$A$86,0)),"Low"))="High Bullpen"),3,4)))),-1,1))))</f>
        <v/>
      </c>
      <c r="N46" s="17">
        <f t="shared" ca="1" si="7"/>
        <v>0</v>
      </c>
      <c r="O46" s="17" t="str">
        <f t="shared" ca="1" si="8"/>
        <v/>
      </c>
      <c r="P46" s="17" t="str">
        <f t="shared" ca="1" si="9"/>
        <v/>
      </c>
      <c r="Q46" s="17" t="str">
        <f t="shared" ca="1" si="10"/>
        <v/>
      </c>
      <c r="R46" s="17" t="str">
        <f t="shared" ca="1" si="11"/>
        <v/>
      </c>
      <c r="S46" s="1" t="str">
        <f ca="1">IF(R46="","",IF(R46="No Throw","Full rest — no throwing today.",IF(R46="Low",CONCATENATE(IF('Day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mph"),IF(R46="Medium",CONCATENATE(IF('Day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mph"),IF(R46="High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mph"),IF(R46="High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mph"),IF(R46="Low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6" s="2"/>
    </row>
    <row r="47" spans="1:20" x14ac:dyDescent="0.3">
      <c r="A47" s="19" t="str">
        <f ca="1">IF($B$7+20&lt;$B$6,$B$7+20,"")</f>
        <v/>
      </c>
      <c r="B47" s="17" t="str">
        <f t="shared" ca="1" si="0"/>
        <v/>
      </c>
      <c r="C47" s="17" t="str">
        <f t="shared" ca="1" si="1"/>
        <v/>
      </c>
      <c r="D47" s="17" t="str">
        <f ca="1">IF(A47="","",IF(AND(T47&lt;&gt;"",T47&lt;&gt;"(none)"),T47,IF(C47&lt;=5,IFERROR(INDEX(Reference!$B$73:$B$78,MATCH(C47,Reference!$A$73:$A$78,0)),"Low"),IFERROR(INDEX(Reference!$B$84:$B$86,MATCH(MOD(C47-6,3),Reference!$A$84:$A$86,0)),"Low"))))</f>
        <v/>
      </c>
      <c r="E47" s="17" t="str">
        <f t="shared" ca="1" si="2"/>
        <v/>
      </c>
      <c r="F47" s="27" t="str">
        <f t="shared" ca="1" si="3"/>
        <v/>
      </c>
      <c r="G47" s="17" t="str">
        <f t="shared" ca="1" si="4"/>
        <v/>
      </c>
      <c r="H47" s="17" t="str">
        <f t="shared" ca="1" si="12"/>
        <v/>
      </c>
      <c r="I47" s="15" t="str">
        <f ca="1">IF(H47="","",IFERROR(INDEX('Day Type Templates'!$B$55:$B$60,MATCH(H47,'Day Type Templates'!$A$55:$A$60,0)),""))</f>
        <v/>
      </c>
      <c r="J47" s="15" t="str">
        <f ca="1">IF(F47="","",SUMIFS('Throw Log'!$Q$5:$Q$300,'Throw Log'!$B$5:$B$300,$B$4,'Throw Log'!$A$5:$A$300,F47))</f>
        <v/>
      </c>
      <c r="K47" s="28">
        <f t="shared" ca="1" si="5"/>
        <v>1</v>
      </c>
      <c r="L47" s="17">
        <f t="shared" ca="1" si="6"/>
        <v>0</v>
      </c>
      <c r="M47" s="17" t="str">
        <f ca="1">IF(A47="","",IF(R46="","",IF(IF(R46="No Throw",0,IF(R46="Low",1,IF(OR(R46="Medium",R46="Low Bullpen"),2,IF(OR(R46="High Non-Bullpen",R46="High Bullpen"),3,4))))=IF(IF(C46&lt;=5,IFERROR(INDEX(Reference!$B$73:$B$78,MATCH(C46,Reference!$A$73:$A$78,0)),"Low"),IFERROR(INDEX(Reference!$B$84:$B$86,MATCH(MOD(C46-6,3),Reference!$A$84:$A$86,0)),"Low"))="No Throw",0,IF(IF(C46&lt;=5,IFERROR(INDEX(Reference!$B$73:$B$78,MATCH(C46,Reference!$A$73:$A$78,0)),"Low"),IFERROR(INDEX(Reference!$B$84:$B$86,MATCH(MOD(C46-6,3),Reference!$A$84:$A$86,0)),"Low"))="Low",1,IF(IF(C46&lt;=5,IFERROR(INDEX(Reference!$B$73:$B$78,MATCH(C46,Reference!$A$73:$A$78,0)),"Low"),IFERROR(INDEX(Reference!$B$84:$B$86,MATCH(MOD(C46-6,3),Reference!$A$84:$A$86,0)),"Low"))="Medium",2,IF(OR(IF(C46&lt;=5,IFERROR(INDEX(Reference!$B$73:$B$78,MATCH(C46,Reference!$A$73:$A$78,0)),"Low"),IFERROR(INDEX(Reference!$B$84:$B$86,MATCH(MOD(C46-6,3),Reference!$A$84:$A$86,0)),"Low"))="High Non-Bullpen",IF(C46&lt;=5,IFERROR(INDEX(Reference!$B$73:$B$78,MATCH(C46,Reference!$A$73:$A$78,0)),"Low"),IFERROR(INDEX(Reference!$B$84:$B$86,MATCH(MOD(C46-6,3),Reference!$A$84:$A$86,0)),"Low"))="High Bullpen"),3,4)))),0,IF(IF(R46="No Throw",0,IF(R46="Low",1,IF(R46="Medium",2,IF(OR(R46="High Non-Bullpen",R46="High Bullpen"),3,4))))&gt;IF(IF(C46&lt;=5,IFERROR(INDEX(Reference!$B$73:$B$78,MATCH(C46,Reference!$A$73:$A$78,0)),"Low"),IFERROR(INDEX(Reference!$B$84:$B$86,MATCH(MOD(C46-6,3),Reference!$A$84:$A$86,0)),"Low"))="No Throw",0,IF(IF(C46&lt;=5,IFERROR(INDEX(Reference!$B$73:$B$78,MATCH(C46,Reference!$A$73:$A$78,0)),"Low"),IFERROR(INDEX(Reference!$B$84:$B$86,MATCH(MOD(C46-6,3),Reference!$A$84:$A$86,0)),"Low"))="Low",1,IF(IF(C46&lt;=5,IFERROR(INDEX(Reference!$B$73:$B$78,MATCH(C46,Reference!$A$73:$A$78,0)),"Low"),IFERROR(INDEX(Reference!$B$84:$B$86,MATCH(MOD(C46-6,3),Reference!$A$84:$A$86,0)),"Low"))="Medium",2,IF(OR(IF(C46&lt;=5,IFERROR(INDEX(Reference!$B$73:$B$78,MATCH(C46,Reference!$A$73:$A$78,0)),"Low"),IFERROR(INDEX(Reference!$B$84:$B$86,MATCH(MOD(C46-6,3),Reference!$A$84:$A$86,0)),"Low"))="High Non-Bullpen",IF(C46&lt;=5,IFERROR(INDEX(Reference!$B$73:$B$78,MATCH(C46,Reference!$A$73:$A$78,0)),"Low"),IFERROR(INDEX(Reference!$B$84:$B$86,MATCH(MOD(C46-6,3),Reference!$A$84:$A$86,0)),"Low"))="High Bullpen"),3,4)))),-1,1))))</f>
        <v/>
      </c>
      <c r="N47" s="17">
        <f t="shared" ca="1" si="7"/>
        <v>0</v>
      </c>
      <c r="O47" s="17" t="str">
        <f t="shared" ca="1" si="8"/>
        <v/>
      </c>
      <c r="P47" s="17" t="str">
        <f t="shared" ca="1" si="9"/>
        <v/>
      </c>
      <c r="Q47" s="17" t="str">
        <f t="shared" ca="1" si="10"/>
        <v/>
      </c>
      <c r="R47" s="17" t="str">
        <f t="shared" ca="1" si="11"/>
        <v/>
      </c>
      <c r="S47" s="1" t="str">
        <f ca="1">IF(R47="","",IF(R47="No Throw","Full rest — no throwing today.",IF(R47="Low",CONCATENATE(IF('Day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mph"),IF(R47="Medium",CONCATENATE(IF('Day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mph"),IF(R47="High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mph"),IF(R47="High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mph"),IF(R47="Low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7" s="2"/>
    </row>
    <row r="48" spans="1:20" x14ac:dyDescent="0.3">
      <c r="A48" s="19" t="str">
        <f ca="1">IF($B$7+21&lt;$B$6,$B$7+21,"")</f>
        <v/>
      </c>
      <c r="B48" s="17" t="str">
        <f t="shared" ca="1" si="0"/>
        <v/>
      </c>
      <c r="C48" s="17" t="str">
        <f t="shared" ca="1" si="1"/>
        <v/>
      </c>
      <c r="D48" s="17" t="str">
        <f ca="1">IF(A48="","",IF(AND(T48&lt;&gt;"",T48&lt;&gt;"(none)"),T48,IF(C48&lt;=5,IFERROR(INDEX(Reference!$B$73:$B$78,MATCH(C48,Reference!$A$73:$A$78,0)),"Low"),IFERROR(INDEX(Reference!$B$84:$B$86,MATCH(MOD(C48-6,3),Reference!$A$84:$A$86,0)),"Low"))))</f>
        <v/>
      </c>
      <c r="E48" s="17" t="str">
        <f t="shared" ca="1" si="2"/>
        <v/>
      </c>
      <c r="F48" s="27" t="str">
        <f t="shared" ca="1" si="3"/>
        <v/>
      </c>
      <c r="G48" s="17" t="str">
        <f t="shared" ca="1" si="4"/>
        <v/>
      </c>
      <c r="H48" s="17" t="str">
        <f t="shared" ca="1" si="12"/>
        <v/>
      </c>
      <c r="I48" s="15" t="str">
        <f ca="1">IF(H48="","",IFERROR(INDEX('Day Type Templates'!$B$55:$B$60,MATCH(H48,'Day Type Templates'!$A$55:$A$60,0)),""))</f>
        <v/>
      </c>
      <c r="J48" s="15" t="str">
        <f ca="1">IF(F48="","",SUMIFS('Throw Log'!$Q$5:$Q$300,'Throw Log'!$B$5:$B$300,$B$4,'Throw Log'!$A$5:$A$300,F48))</f>
        <v/>
      </c>
      <c r="K48" s="28">
        <f t="shared" ca="1" si="5"/>
        <v>1</v>
      </c>
      <c r="L48" s="17">
        <f t="shared" ca="1" si="6"/>
        <v>0</v>
      </c>
      <c r="M48" s="17" t="str">
        <f ca="1">IF(A48="","",IF(R47="","",IF(IF(R47="No Throw",0,IF(R47="Low",1,IF(OR(R47="Medium",R47="Low Bullpen"),2,IF(OR(R47="High Non-Bullpen",R47="High Bullpen"),3,4))))=IF(IF(C47&lt;=5,IFERROR(INDEX(Reference!$B$73:$B$78,MATCH(C47,Reference!$A$73:$A$78,0)),"Low"),IFERROR(INDEX(Reference!$B$84:$B$86,MATCH(MOD(C47-6,3),Reference!$A$84:$A$86,0)),"Low"))="No Throw",0,IF(IF(C47&lt;=5,IFERROR(INDEX(Reference!$B$73:$B$78,MATCH(C47,Reference!$A$73:$A$78,0)),"Low"),IFERROR(INDEX(Reference!$B$84:$B$86,MATCH(MOD(C47-6,3),Reference!$A$84:$A$86,0)),"Low"))="Low",1,IF(IF(C47&lt;=5,IFERROR(INDEX(Reference!$B$73:$B$78,MATCH(C47,Reference!$A$73:$A$78,0)),"Low"),IFERROR(INDEX(Reference!$B$84:$B$86,MATCH(MOD(C47-6,3),Reference!$A$84:$A$86,0)),"Low"))="Medium",2,IF(OR(IF(C47&lt;=5,IFERROR(INDEX(Reference!$B$73:$B$78,MATCH(C47,Reference!$A$73:$A$78,0)),"Low"),IFERROR(INDEX(Reference!$B$84:$B$86,MATCH(MOD(C47-6,3),Reference!$A$84:$A$86,0)),"Low"))="High Non-Bullpen",IF(C47&lt;=5,IFERROR(INDEX(Reference!$B$73:$B$78,MATCH(C47,Reference!$A$73:$A$78,0)),"Low"),IFERROR(INDEX(Reference!$B$84:$B$86,MATCH(MOD(C47-6,3),Reference!$A$84:$A$86,0)),"Low"))="High Bullpen"),3,4)))),0,IF(IF(R47="No Throw",0,IF(R47="Low",1,IF(R47="Medium",2,IF(OR(R47="High Non-Bullpen",R47="High Bullpen"),3,4))))&gt;IF(IF(C47&lt;=5,IFERROR(INDEX(Reference!$B$73:$B$78,MATCH(C47,Reference!$A$73:$A$78,0)),"Low"),IFERROR(INDEX(Reference!$B$84:$B$86,MATCH(MOD(C47-6,3),Reference!$A$84:$A$86,0)),"Low"))="No Throw",0,IF(IF(C47&lt;=5,IFERROR(INDEX(Reference!$B$73:$B$78,MATCH(C47,Reference!$A$73:$A$78,0)),"Low"),IFERROR(INDEX(Reference!$B$84:$B$86,MATCH(MOD(C47-6,3),Reference!$A$84:$A$86,0)),"Low"))="Low",1,IF(IF(C47&lt;=5,IFERROR(INDEX(Reference!$B$73:$B$78,MATCH(C47,Reference!$A$73:$A$78,0)),"Low"),IFERROR(INDEX(Reference!$B$84:$B$86,MATCH(MOD(C47-6,3),Reference!$A$84:$A$86,0)),"Low"))="Medium",2,IF(OR(IF(C47&lt;=5,IFERROR(INDEX(Reference!$B$73:$B$78,MATCH(C47,Reference!$A$73:$A$78,0)),"Low"),IFERROR(INDEX(Reference!$B$84:$B$86,MATCH(MOD(C47-6,3),Reference!$A$84:$A$86,0)),"Low"))="High Non-Bullpen",IF(C47&lt;=5,IFERROR(INDEX(Reference!$B$73:$B$78,MATCH(C47,Reference!$A$73:$A$78,0)),"Low"),IFERROR(INDEX(Reference!$B$84:$B$86,MATCH(MOD(C47-6,3),Reference!$A$84:$A$86,0)),"Low"))="High Bullpen"),3,4)))),-1,1))))</f>
        <v/>
      </c>
      <c r="N48" s="17">
        <f t="shared" ca="1" si="7"/>
        <v>0</v>
      </c>
      <c r="O48" s="17" t="str">
        <f t="shared" ca="1" si="8"/>
        <v/>
      </c>
      <c r="P48" s="17" t="str">
        <f t="shared" ca="1" si="9"/>
        <v/>
      </c>
      <c r="Q48" s="17" t="str">
        <f t="shared" ca="1" si="10"/>
        <v/>
      </c>
      <c r="R48" s="17" t="str">
        <f t="shared" ca="1" si="11"/>
        <v/>
      </c>
      <c r="S48" s="1" t="str">
        <f ca="1">IF(R48="","",IF(R48="No Throw","Full rest — no throwing today.",IF(R48="Low",CONCATENATE(IF('Day Type Templates'!$E$10="","Mound",'Day Type Templates'!$E$10&amp;" ft")&amp;" — "&amp;'Day Type Templates'!$F$10&amp;"-"&amp;'Day Type Templates'!$G$10&amp;" throws"&amp;" @ "&amp;ROUND($B$8-'Day Type Templates'!$J$10,0)&amp;"-"&amp;ROUND($B$8-'Day Type Templates'!$I$10,0)&amp;" mph","  +  ",IF('Day Type Templates'!$E$11="","Mound",'Day Type Templates'!$E$11&amp;" ft")&amp;" — "&amp;'Day Type Templates'!$F$11&amp;"-"&amp;'Day Type Templates'!$G$11&amp;" throws"&amp;" @ "&amp;ROUND($B$8-'Day Type Templates'!$J$11,0)&amp;"-"&amp;ROUND($B$8-'Day Type Templates'!$I$11,0)&amp;" mph"),IF(R48="Medium",CONCATENATE(IF('Day Type Templates'!$E$14="","Mound",'Day Type Templates'!$E$14&amp;" ft")&amp;" — "&amp;'Day Type Templates'!$F$14&amp;"-"&amp;'Day Type Templates'!$G$14&amp;" throws"&amp;" @ "&amp;ROUND($B$8-'Day Type Templates'!$J$14,0)&amp;"-"&amp;ROUND($B$8-'Day Type Templates'!$I$14,0)&amp;" mph","  +  ",IF('Day Type Templates'!$E$15="","Mound",'Day Type Templates'!$E$15&amp;" ft")&amp;" — "&amp;'Day Type Templates'!$F$15&amp;"-"&amp;'Day Type Templates'!$G$15&amp;" throws"&amp;" @ "&amp;ROUND($B$8-'Day Type Templates'!$J$15,0)&amp;"-"&amp;ROUND($B$8-'Day Type Templates'!$I$15,0)&amp;" mph"),IF(R48="High Non-Bullpen",CONCATENATE(IF('Day Type Templates'!$E$18="","Mound",'Day Type Templates'!$E$18&amp;" ft")&amp;" — "&amp;'Day Type Templates'!$F$18&amp;"-"&amp;'Day Type Templates'!$G$18&amp;" throws"&amp;" @ "&amp;ROUND($B$8-'Day Type Templates'!$J$18,0)&amp;"-"&amp;ROUND($B$8-'Day Type Templates'!$I$18,0)&amp;" mph","  +  ",IF('Day Type Templates'!$E$19="","Mound",'Day Type Templates'!$E$19&amp;" ft")&amp;" — "&amp;'Day Type Templates'!$F$19&amp;"-"&amp;'Day Type Templates'!$G$19&amp;" throws"&amp;" @ "&amp;ROUND($B$8-'Day Type Templates'!$J$19,0)&amp;"-"&amp;ROUND($B$8-'Day Type Templates'!$I$19,0)&amp;" mph","  +  ",IF('Day Type Templates'!$E$20="","Mound",'Day Type Templates'!$E$20&amp;" ft")&amp;" — "&amp;'Day Type Templates'!$F$20&amp;"-"&amp;'Day Type Templates'!$G$20&amp;" throws"&amp;" @ "&amp;ROUND($B$8-'Day Type Templates'!$J$20,0)&amp;"-"&amp;ROUND($B$8-'Day Type Templates'!$I$20,0)&amp;" mph"),IF(R48="High Bullpen",CONCATENATE(IF('Day Type Templates'!$E$24="","Mound",'Day Type Templates'!$E$24&amp;" ft")&amp;" — "&amp;'Day Type Templates'!$F$24&amp;"-"&amp;'Day Type Templates'!$G$24&amp;" throws"&amp;" @ "&amp;ROUND($B$8-'Day Type Templates'!$J$24,0)&amp;"-"&amp;ROUND($B$8-'Day Type Templates'!$I$24,0)&amp;" mph","  +  ",IF('Day Type Templates'!$E$25="","Mound",'Day Type Templates'!$E$25&amp;" ft")&amp;" — "&amp;'Day Type Templates'!$F$25&amp;"-"&amp;'Day Type Templates'!$G$25&amp;" throws"&amp;" @ "&amp;ROUND($B$8-'Day Type Templates'!$J$25,0)&amp;"-"&amp;ROUND($B$8-'Day Type Templates'!$I$25,0)&amp;" mph"),IF(R48="Low Bullpen",CONCATENATE(IF('Day Type Templates'!$E$32="","Mound",'Day Type Templates'!$E$32&amp;" ft")&amp;" — "&amp;'Day Type Templates'!$F$32&amp;"-"&amp;'Day Type Templates'!$G$32&amp;" throws"&amp;" @ "&amp;ROUND($B$8-'Day Type Templates'!$J$32,0)&amp;"-"&amp;ROUND($B$8-'Day Type Templates'!$I$32,0)&amp;" mph","  +  ",IF('Day Type Templates'!$E$33="","Mound",'Day Type Templates'!$E$33&amp;" ft")&amp;" — "&amp;'Day Type Templates'!$F$33&amp;"-"&amp;'Day Type Templates'!$G$33&amp;" throws"&amp;" @ "&amp;ROUND($B$8-'Day Type Templates'!$J$33,0)&amp;"-"&amp;ROUND($B$8-'Day Type Templates'!$I$33,0)&amp;" mph"),"Game — see Reference tab for warm-up rules")))))))</f>
        <v/>
      </c>
      <c r="T48" s="2"/>
    </row>
  </sheetData>
  <mergeCells count="12">
    <mergeCell ref="A1:T1"/>
    <mergeCell ref="A2:T2"/>
    <mergeCell ref="A10:T10"/>
    <mergeCell ref="B15:F15"/>
    <mergeCell ref="C16:T16"/>
    <mergeCell ref="A24:T24"/>
    <mergeCell ref="A25:T25"/>
    <mergeCell ref="A18:T18"/>
    <mergeCell ref="B20:D20"/>
    <mergeCell ref="B21:T21"/>
    <mergeCell ref="B22:T22"/>
    <mergeCell ref="E23:T23"/>
  </mergeCells>
  <conditionalFormatting sqref="B14">
    <cfRule type="expression" dxfId="3" priority="2">
      <formula>B14="Sweet Spot"</formula>
    </cfRule>
    <cfRule type="expression" dxfId="2" priority="3">
      <formula>B14="Undertrained"</formula>
    </cfRule>
    <cfRule type="expression" dxfId="1" priority="4">
      <formula>B14="Caution"</formula>
    </cfRule>
    <cfRule type="expression" dxfId="0" priority="5">
      <formula>B14="High Risk"</formula>
    </cfRule>
  </conditionalFormatting>
  <dataValidations count="2">
    <dataValidation type="list" allowBlank="1" sqref="B5" xr:uid="{00000000-0002-0000-0600-000000000000}">
      <formula1>"Game,High Bullpen,Low Bullpen"</formula1>
      <formula2>0</formula2>
    </dataValidation>
    <dataValidation type="list" allowBlank="1" sqref="T28:T48" xr:uid="{00000000-0002-0000-0600-000001000000}">
      <formula1>"(none),No Throw,Low,Medium,High Non-Bullpen,Low Bullpen,High Bullpen,Game"</formula1>
      <formula2>0</formula2>
    </dataValidation>
  </dataValidation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5a31d35e-c353-49f9-80a9-7f967cb9e5be}" enabled="0" method="" siteId="{5a31d35e-c353-49f9-80a9-7f967cb9e5be}"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Reference</vt:lpstr>
      <vt:lpstr>Roster</vt:lpstr>
      <vt:lpstr>Throw Log</vt:lpstr>
      <vt:lpstr>Dashboard</vt:lpstr>
      <vt:lpstr>Day Type Templates</vt:lpstr>
      <vt:lpstr>Next Outing Planner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Rudy Darrow</cp:lastModifiedBy>
  <cp:revision>2</cp:revision>
  <dcterms:created xsi:type="dcterms:W3CDTF">2026-09-28T16:19:30Z</dcterms:created>
  <dcterms:modified xsi:type="dcterms:W3CDTF">2026-09-30T22:20:47Z</dcterms:modified>
  <dc:language>en-US</dc:language>
</cp:coreProperties>
</file>